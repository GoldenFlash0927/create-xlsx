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8540" activeTab="1"/>
  </bookViews>
  <sheets>
    <sheet name="10月份收支统计" sheetId="8" r:id="rId1"/>
    <sheet name="考勤" sheetId="7" r:id="rId2"/>
    <sheet name="业绩登记表" sheetId="2" r:id="rId3"/>
    <sheet name="会员到店率10月" sheetId="3" r:id="rId4"/>
    <sheet name="手工提成12月" sheetId="5" r:id="rId5"/>
    <sheet name="库存" sheetId="4" r:id="rId6"/>
    <sheet name="25年顾客消费记录" sheetId="6" r:id="rId7"/>
    <sheet name="20251110盘货" sheetId="9" r:id="rId8"/>
  </sheets>
  <definedNames>
    <definedName name="_xlnm._FilterDatabase" localSheetId="2" hidden="1">业绩登记表!$I$1:$I$49</definedName>
    <definedName name="_xlnm._FilterDatabase" localSheetId="6" hidden="1">'25年顾客消费记录'!$A$2:$P$2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<sst xmlns="http://schemas.openxmlformats.org/spreadsheetml/2006/main" count="759" uniqueCount="396">
  <si>
    <t>店里支出明细</t>
  </si>
  <si>
    <t>2025年8月收入</t>
  </si>
  <si>
    <t>名称</t>
  </si>
  <si>
    <t>日期</t>
  </si>
  <si>
    <t>明细</t>
  </si>
  <si>
    <t>金额（元）</t>
  </si>
  <si>
    <t>备注</t>
  </si>
  <si>
    <t>月份</t>
  </si>
  <si>
    <t>抖音</t>
  </si>
  <si>
    <t>美团</t>
  </si>
  <si>
    <t>现金</t>
  </si>
  <si>
    <t>当月金额</t>
  </si>
  <si>
    <t>扣除支出剩余</t>
  </si>
  <si>
    <t>9月</t>
  </si>
  <si>
    <t>美团刷单</t>
  </si>
  <si>
    <t>1940的3单1%佣金</t>
  </si>
  <si>
    <t>抖音刷单</t>
  </si>
  <si>
    <t>3000的3单手续费0.6%</t>
  </si>
  <si>
    <t>小计</t>
  </si>
  <si>
    <t>考勤月份：</t>
  </si>
  <si>
    <t>年</t>
  </si>
  <si>
    <t>月</t>
  </si>
  <si>
    <t>出勤</t>
  </si>
  <si>
    <t>√</t>
  </si>
  <si>
    <t>休息</t>
  </si>
  <si>
    <t>学习</t>
  </si>
  <si>
    <t>12月27 日</t>
  </si>
  <si>
    <t>刘素梦</t>
  </si>
  <si>
    <t>店</t>
  </si>
  <si>
    <t>丛丛</t>
  </si>
  <si>
    <t>5000以下</t>
  </si>
  <si>
    <t>5001~10000</t>
  </si>
  <si>
    <t>10001~15000</t>
  </si>
  <si>
    <t>15001~20000</t>
  </si>
  <si>
    <t>20001以上</t>
  </si>
  <si>
    <t>顾客姓名</t>
  </si>
  <si>
    <t>卡项</t>
  </si>
  <si>
    <t>金额</t>
  </si>
  <si>
    <t>服务人</t>
  </si>
  <si>
    <t>途径</t>
  </si>
  <si>
    <t>自然进店/抖音/美团</t>
  </si>
  <si>
    <t>王小路</t>
  </si>
  <si>
    <t>梦梦</t>
  </si>
  <si>
    <t>新客</t>
  </si>
  <si>
    <t>张文文</t>
  </si>
  <si>
    <t>王秀菊</t>
  </si>
  <si>
    <t>文</t>
  </si>
  <si>
    <t>自然进店</t>
  </si>
  <si>
    <t>张凤玲</t>
  </si>
  <si>
    <t>10次拨筋+1次补水</t>
  </si>
  <si>
    <t>薛秀玉</t>
  </si>
  <si>
    <t>赵博</t>
  </si>
  <si>
    <t>清洁年卡</t>
  </si>
  <si>
    <t>老客续卡</t>
  </si>
  <si>
    <t>尹珊</t>
  </si>
  <si>
    <t>980卡</t>
  </si>
  <si>
    <t>文文</t>
  </si>
  <si>
    <t>自然到店</t>
  </si>
  <si>
    <t>陈娟</t>
  </si>
  <si>
    <t>蓝铜胜肽精华两瓶</t>
  </si>
  <si>
    <t>家居</t>
  </si>
  <si>
    <t>董亚萍</t>
  </si>
  <si>
    <t>299体验卡</t>
  </si>
  <si>
    <t>刘静</t>
  </si>
  <si>
    <t>抖音980活动卡</t>
  </si>
  <si>
    <t>128预售卡</t>
  </si>
  <si>
    <t>预售卡</t>
  </si>
  <si>
    <t>王敏</t>
  </si>
  <si>
    <t>田罗</t>
  </si>
  <si>
    <t>戴欣洁</t>
  </si>
  <si>
    <t>徐红英</t>
  </si>
  <si>
    <t>赵阳</t>
  </si>
  <si>
    <t>20次精油面部拨筋</t>
  </si>
  <si>
    <t>老客叠卡</t>
  </si>
  <si>
    <t>徐姐</t>
  </si>
  <si>
    <t>980活动卡现金</t>
  </si>
  <si>
    <t>杨春杰</t>
  </si>
  <si>
    <t>李璐</t>
  </si>
  <si>
    <t>许女士</t>
  </si>
  <si>
    <t>一个学生</t>
  </si>
  <si>
    <t>祛痘一次</t>
  </si>
  <si>
    <t>邓琳</t>
  </si>
  <si>
    <t>张林青</t>
  </si>
  <si>
    <t>陈锐</t>
  </si>
  <si>
    <t>洋甘菊三盒</t>
  </si>
  <si>
    <t>王慧萍</t>
  </si>
  <si>
    <t>袁安然</t>
  </si>
  <si>
    <t>玻尿酸家居一套</t>
  </si>
  <si>
    <t>299升卡</t>
  </si>
  <si>
    <t>马丹丹</t>
  </si>
  <si>
    <t>李雯清</t>
  </si>
  <si>
    <t>薛女士</t>
  </si>
  <si>
    <t>980套餐</t>
  </si>
  <si>
    <t>萌萌</t>
  </si>
  <si>
    <t>9月份尾款</t>
  </si>
  <si>
    <t>许静丹</t>
  </si>
  <si>
    <t>吕娟</t>
  </si>
  <si>
    <t>徐国华</t>
  </si>
  <si>
    <t>丹丹</t>
  </si>
  <si>
    <t>魏士芮</t>
  </si>
  <si>
    <t>毛玉英</t>
  </si>
  <si>
    <t>冯文洁</t>
  </si>
  <si>
    <t>蒋胜男</t>
  </si>
  <si>
    <t>岳慧</t>
  </si>
  <si>
    <t>陈琳</t>
  </si>
  <si>
    <t>赵燕碟</t>
  </si>
  <si>
    <t>299升卡补水</t>
  </si>
  <si>
    <t>任瑞</t>
  </si>
  <si>
    <t>紫苏家居+紫苏套</t>
  </si>
  <si>
    <t>牡丹精油5次+多肽5次+雪莲补水5次+眼部5次+调肤10次+次抛</t>
  </si>
  <si>
    <t>次抛</t>
  </si>
  <si>
    <t>精油10次+依克10次+蓝铜10次+清洁10次+玻尿酸调肤10次+美白冻干一次</t>
  </si>
  <si>
    <t>烟酰胺5次+VC5次+牡丹3次+玻尿酸冻干1次+调肤5次</t>
  </si>
  <si>
    <t>修复ABC10次+雪莲10次+调肤10次+精油1次+蓝铜水1</t>
  </si>
  <si>
    <t>清洁补水20次+玻尿酸冻干</t>
  </si>
  <si>
    <t>补水20次+精油20+次抛精华</t>
  </si>
  <si>
    <t>清洁5次+精油5次+调肤5次</t>
  </si>
  <si>
    <t>精油10次+烟酰胺5+VC5次+玻尿酸调肤15次+清洁10次</t>
  </si>
  <si>
    <t>李萍</t>
  </si>
  <si>
    <t>补水20次+3次清洁</t>
  </si>
  <si>
    <t>丸碧顾客到店-12月度循环表（套盒）</t>
  </si>
  <si>
    <t>序号</t>
  </si>
  <si>
    <t>办卡时间</t>
  </si>
  <si>
    <t>顾客生日</t>
  </si>
  <si>
    <t>项目</t>
  </si>
  <si>
    <t>增加项目</t>
  </si>
  <si>
    <t>顾客电话</t>
  </si>
  <si>
    <t>日护</t>
  </si>
  <si>
    <t>到店时间</t>
  </si>
  <si>
    <t>月到店次数</t>
  </si>
  <si>
    <t>套盒</t>
  </si>
  <si>
    <t>身体</t>
  </si>
  <si>
    <t>祛痘</t>
  </si>
  <si>
    <t>精油</t>
  </si>
  <si>
    <t>消费金额</t>
  </si>
  <si>
    <t>1次</t>
  </si>
  <si>
    <t>2次</t>
  </si>
  <si>
    <t>3次</t>
  </si>
  <si>
    <t>4次</t>
  </si>
  <si>
    <t>5次</t>
  </si>
  <si>
    <t>余</t>
  </si>
  <si>
    <t>清洁</t>
  </si>
  <si>
    <t>补水</t>
  </si>
  <si>
    <t>牡丹</t>
  </si>
  <si>
    <t>紫苏</t>
  </si>
  <si>
    <t>人参</t>
  </si>
  <si>
    <t>烟酰胺</t>
  </si>
  <si>
    <t>补水冻干</t>
  </si>
  <si>
    <t>VC冻干</t>
  </si>
  <si>
    <t>修复冻干</t>
  </si>
  <si>
    <t>抗衰冻干</t>
  </si>
  <si>
    <t>眼部</t>
  </si>
  <si>
    <t>美白</t>
  </si>
  <si>
    <t>眼护</t>
  </si>
  <si>
    <t>修复</t>
  </si>
  <si>
    <t>玻尿酸冻干</t>
  </si>
  <si>
    <t>痘</t>
  </si>
  <si>
    <t>修复B</t>
  </si>
  <si>
    <t>人B</t>
  </si>
  <si>
    <t>试营业</t>
  </si>
  <si>
    <t>余4次补水</t>
  </si>
  <si>
    <t>韩会</t>
  </si>
  <si>
    <t>余1次补水</t>
  </si>
  <si>
    <t>6月初五</t>
  </si>
  <si>
    <t>许丽梅</t>
  </si>
  <si>
    <t>娟朋友</t>
  </si>
  <si>
    <t>698未备注包含什么内容</t>
  </si>
  <si>
    <t>/</t>
  </si>
  <si>
    <t>李艳</t>
  </si>
  <si>
    <t>张瑾</t>
  </si>
  <si>
    <t>同学</t>
  </si>
  <si>
    <t>孙会英</t>
  </si>
  <si>
    <t>2月22</t>
  </si>
  <si>
    <t>段曼丽</t>
  </si>
  <si>
    <t>张文</t>
  </si>
  <si>
    <t>张梦婷</t>
  </si>
  <si>
    <t>办完卡未来过</t>
  </si>
  <si>
    <t>黄女士</t>
  </si>
  <si>
    <t>芦保娟</t>
  </si>
  <si>
    <t>娟姐</t>
  </si>
  <si>
    <t>李霁慧</t>
  </si>
  <si>
    <t>乒乓</t>
  </si>
  <si>
    <t>胡弟原</t>
  </si>
  <si>
    <t>余2次补水</t>
  </si>
  <si>
    <t>杨娟</t>
  </si>
  <si>
    <t>卡项有疑问</t>
  </si>
  <si>
    <t>吴建强</t>
  </si>
  <si>
    <t>陈素娟</t>
  </si>
  <si>
    <t>石女士</t>
  </si>
  <si>
    <t>余2次</t>
  </si>
  <si>
    <t>李淑永</t>
  </si>
  <si>
    <t>王凤</t>
  </si>
  <si>
    <t>程志豪</t>
  </si>
  <si>
    <t>洗面奶118</t>
  </si>
  <si>
    <t>黄文歌</t>
  </si>
  <si>
    <t>刘苏</t>
  </si>
  <si>
    <t>敬芳</t>
  </si>
  <si>
    <t>张冰</t>
  </si>
  <si>
    <t>吕小梦</t>
  </si>
  <si>
    <t>尤婉青</t>
  </si>
  <si>
    <t>余琴</t>
  </si>
  <si>
    <t>高赛歌</t>
  </si>
  <si>
    <t>马琳</t>
  </si>
  <si>
    <t>李少娟</t>
  </si>
  <si>
    <t>王硕</t>
  </si>
  <si>
    <t>赵姐（物业）</t>
  </si>
  <si>
    <t>6次</t>
  </si>
  <si>
    <t>李艺</t>
  </si>
  <si>
    <t>赵普煜</t>
  </si>
  <si>
    <t>宋崔峰</t>
  </si>
  <si>
    <t>王向杰</t>
  </si>
  <si>
    <t>何婷</t>
  </si>
  <si>
    <t>赵洋洋</t>
  </si>
  <si>
    <t>卡项不请</t>
  </si>
  <si>
    <t>刘珊珊</t>
  </si>
  <si>
    <t>向冰</t>
  </si>
  <si>
    <t>陈亚楠</t>
  </si>
  <si>
    <t>孟肖肖</t>
  </si>
  <si>
    <t>10.2农历</t>
  </si>
  <si>
    <t>柳尹琪</t>
  </si>
  <si>
    <t>防晒</t>
  </si>
  <si>
    <t>张丹丹</t>
  </si>
  <si>
    <t>张兰杰</t>
  </si>
  <si>
    <t>胡雨杰</t>
  </si>
  <si>
    <t>徐丹</t>
  </si>
  <si>
    <t>沈慧妹</t>
  </si>
  <si>
    <t>程品品</t>
  </si>
  <si>
    <t>张东歌</t>
  </si>
  <si>
    <t>李景霞</t>
  </si>
  <si>
    <t>黄琛</t>
  </si>
  <si>
    <t>温馨</t>
  </si>
  <si>
    <t>张艳</t>
  </si>
  <si>
    <t>路瑞迎</t>
  </si>
  <si>
    <t>冯林</t>
  </si>
  <si>
    <t>于瑞瑞</t>
  </si>
  <si>
    <t>美白冻干</t>
  </si>
  <si>
    <t>张菁</t>
  </si>
  <si>
    <t>退卡</t>
  </si>
  <si>
    <t>周芳芳</t>
  </si>
  <si>
    <t>杨富琳</t>
  </si>
  <si>
    <t>程瑶瑶</t>
  </si>
  <si>
    <t>吴伟</t>
  </si>
  <si>
    <t>1359844？</t>
  </si>
  <si>
    <t>古桂英</t>
  </si>
  <si>
    <t>张欢欢</t>
  </si>
  <si>
    <t>王艳艳</t>
  </si>
  <si>
    <t>陈星羽</t>
  </si>
  <si>
    <t>赵女士</t>
  </si>
  <si>
    <t>周一冰</t>
  </si>
  <si>
    <t>李菲</t>
  </si>
  <si>
    <t>蔡一静</t>
  </si>
  <si>
    <t>付静</t>
  </si>
  <si>
    <t>桑冰哲</t>
  </si>
  <si>
    <t>王贺龙</t>
  </si>
  <si>
    <t>张瑶</t>
  </si>
  <si>
    <t>魏瑾</t>
  </si>
  <si>
    <t>赵诗宇</t>
  </si>
  <si>
    <t>刘阳</t>
  </si>
  <si>
    <t>张茜茜</t>
  </si>
  <si>
    <t>牛翠翠</t>
  </si>
  <si>
    <t>陈先生</t>
  </si>
  <si>
    <t>孙梦乐</t>
  </si>
  <si>
    <t>李田</t>
  </si>
  <si>
    <t>杜薇</t>
  </si>
  <si>
    <t>延翠云</t>
  </si>
  <si>
    <t>杨萍</t>
  </si>
  <si>
    <t>郝东方</t>
  </si>
  <si>
    <t>栾传亮</t>
  </si>
  <si>
    <t>王晓菲</t>
  </si>
  <si>
    <t>任萌</t>
  </si>
  <si>
    <t>杨璐玮</t>
  </si>
  <si>
    <t>顾晓楠</t>
  </si>
  <si>
    <t>周慧芳</t>
  </si>
  <si>
    <t>张可蒙</t>
  </si>
  <si>
    <t>田德翠</t>
  </si>
  <si>
    <t>石沙沙</t>
  </si>
  <si>
    <t>滑晓曾</t>
  </si>
  <si>
    <t>许童瑶</t>
  </si>
  <si>
    <t>韩露</t>
  </si>
  <si>
    <t>阮会杰</t>
  </si>
  <si>
    <t>胡盼盼</t>
  </si>
  <si>
    <t>刘杨</t>
  </si>
  <si>
    <t>杨丽</t>
  </si>
  <si>
    <t>马梦月</t>
  </si>
  <si>
    <t>孙静</t>
  </si>
  <si>
    <t>马璐</t>
  </si>
  <si>
    <t>郑娜</t>
  </si>
  <si>
    <t>任佳鑫</t>
  </si>
  <si>
    <t>潘姐</t>
  </si>
  <si>
    <t>李瑞</t>
  </si>
  <si>
    <t>安正源</t>
  </si>
  <si>
    <t>魏晓云</t>
  </si>
  <si>
    <t>秀秀</t>
  </si>
  <si>
    <t>张嘉琪</t>
  </si>
  <si>
    <t>高倩</t>
  </si>
  <si>
    <t>何群英</t>
  </si>
  <si>
    <t>赵艳碟</t>
  </si>
  <si>
    <t>刘颖</t>
  </si>
  <si>
    <t>牛顺顺</t>
  </si>
  <si>
    <t>田雨</t>
  </si>
  <si>
    <t>李琨</t>
  </si>
  <si>
    <t>张文慧</t>
  </si>
  <si>
    <t>李瑞杰</t>
  </si>
  <si>
    <t>李薇</t>
  </si>
  <si>
    <t xml:space="preserve"> </t>
  </si>
  <si>
    <t>王雨新</t>
  </si>
  <si>
    <t>付文倩</t>
  </si>
  <si>
    <t>薛</t>
  </si>
  <si>
    <t>岳丽</t>
  </si>
  <si>
    <t>王小璐</t>
  </si>
  <si>
    <t>薛秀玲</t>
  </si>
  <si>
    <t>袁金娜</t>
  </si>
  <si>
    <t>会员</t>
  </si>
  <si>
    <t>植物系列</t>
  </si>
  <si>
    <t>科技系列</t>
  </si>
  <si>
    <t>冻干系列</t>
  </si>
  <si>
    <t>抖音、美团</t>
  </si>
  <si>
    <t>手工提成（店客）</t>
  </si>
  <si>
    <t>手工提成梦梦</t>
  </si>
  <si>
    <t>手工提成（丛丛）</t>
  </si>
  <si>
    <t>消耗卡项</t>
  </si>
  <si>
    <t>手工</t>
  </si>
  <si>
    <t>耗卡金额</t>
  </si>
  <si>
    <t>以下不含不带盒子的</t>
  </si>
  <si>
    <t>清</t>
  </si>
  <si>
    <t>补水套盒</t>
  </si>
  <si>
    <t>美白套盒</t>
  </si>
  <si>
    <t>修复套盒</t>
  </si>
  <si>
    <t>抗衰套盒</t>
  </si>
  <si>
    <t>眼套</t>
  </si>
  <si>
    <t>痘套</t>
  </si>
  <si>
    <t>眼霜</t>
  </si>
  <si>
    <t>超声泡</t>
  </si>
  <si>
    <t>雪莲家居</t>
  </si>
  <si>
    <t>玻尿酸家居</t>
  </si>
  <si>
    <t>牡丹家居</t>
  </si>
  <si>
    <t>烟酰胺家居</t>
  </si>
  <si>
    <t>紫苏家居</t>
  </si>
  <si>
    <t>蓝铜胜肽家居</t>
  </si>
  <si>
    <t>人参家居</t>
  </si>
  <si>
    <t>玻色因家居</t>
  </si>
  <si>
    <t>面膜</t>
  </si>
  <si>
    <t>卸妆水</t>
  </si>
  <si>
    <t>护手霜</t>
  </si>
  <si>
    <t>洗面奶</t>
  </si>
  <si>
    <t>素颜霜</t>
  </si>
  <si>
    <t>洗护套</t>
  </si>
  <si>
    <t>牙膏</t>
  </si>
  <si>
    <t>保湿喷雾</t>
  </si>
  <si>
    <t>彩妆</t>
  </si>
  <si>
    <t>A</t>
  </si>
  <si>
    <t>B</t>
  </si>
  <si>
    <t>C</t>
  </si>
  <si>
    <t>水</t>
  </si>
  <si>
    <t>精</t>
  </si>
  <si>
    <t>乳</t>
  </si>
  <si>
    <t>霜</t>
  </si>
  <si>
    <t>洋</t>
  </si>
  <si>
    <t>海</t>
  </si>
  <si>
    <t>雪</t>
  </si>
  <si>
    <t>山茶花</t>
  </si>
  <si>
    <t>玻色</t>
  </si>
  <si>
    <t>蓝铜</t>
  </si>
  <si>
    <t>胶原次抛</t>
  </si>
  <si>
    <t>控油</t>
  </si>
  <si>
    <t>舒缓</t>
  </si>
  <si>
    <t>保湿</t>
  </si>
  <si>
    <t>氨基酸</t>
  </si>
  <si>
    <t>洗发</t>
  </si>
  <si>
    <t>沐浴</t>
  </si>
  <si>
    <t>发膜</t>
  </si>
  <si>
    <t>眼影</t>
  </si>
  <si>
    <t>眼线</t>
  </si>
  <si>
    <t>高光</t>
  </si>
  <si>
    <t>眉粉</t>
  </si>
  <si>
    <t>口红</t>
  </si>
  <si>
    <t>遮瑕</t>
  </si>
  <si>
    <t>轧差</t>
  </si>
  <si>
    <t>总库存</t>
  </si>
  <si>
    <t>剩余库存</t>
  </si>
  <si>
    <t>销量</t>
  </si>
  <si>
    <t>1月</t>
  </si>
  <si>
    <t>2月</t>
  </si>
  <si>
    <t>3月</t>
  </si>
  <si>
    <t>4月</t>
  </si>
  <si>
    <t>5月</t>
  </si>
  <si>
    <t>6月</t>
  </si>
  <si>
    <t>7月</t>
  </si>
  <si>
    <t>8月</t>
  </si>
  <si>
    <t>10月</t>
  </si>
  <si>
    <t>11月</t>
  </si>
  <si>
    <t>12月</t>
  </si>
  <si>
    <t>25年合计</t>
  </si>
  <si>
    <t>24年总金额</t>
  </si>
  <si>
    <t>倪新慧</t>
  </si>
  <si>
    <t>杨伊琳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</si>
</sst>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&quot;月&quot;d&quot;日&quot;;@"/>
    <numFmt numFmtId="178" formatCode="0.00_ "/>
  </numFmts>
  <fonts count="5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0"/>
      <name val="微软雅黑"/>
      <charset val="134"/>
    </font>
    <font>
      <sz val="11"/>
      <color rgb="FFFF0000"/>
      <name val="微软雅黑"/>
      <charset val="134"/>
    </font>
    <font>
      <b/>
      <sz val="10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10"/>
      <color rgb="FF000000"/>
      <name val="宋体"/>
      <charset val="134"/>
    </font>
    <font>
      <b/>
      <sz val="14"/>
      <color theme="0"/>
      <name val="微软雅黑"/>
      <charset val="134"/>
    </font>
    <font>
      <b/>
      <sz val="11"/>
      <color theme="1"/>
      <name val="微软雅黑"/>
      <charset val="134"/>
    </font>
    <font>
      <b/>
      <sz val="22"/>
      <color theme="0"/>
      <name val="宋体"/>
      <charset val="134"/>
      <scheme val="minor"/>
    </font>
    <font>
      <sz val="9"/>
      <color theme="0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8"/>
      <color theme="1"/>
      <name val="微软雅黑"/>
      <charset val="134"/>
    </font>
    <font>
      <sz val="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F1CC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8" borderId="17" applyNumberFormat="0" applyAlignment="0" applyProtection="0">
      <alignment vertical="center"/>
    </xf>
    <xf numFmtId="0" fontId="40" fillId="19" borderId="18" applyNumberFormat="0" applyAlignment="0" applyProtection="0">
      <alignment vertical="center"/>
    </xf>
    <xf numFmtId="0" fontId="41" fillId="19" borderId="17" applyNumberFormat="0" applyAlignment="0" applyProtection="0">
      <alignment vertical="center"/>
    </xf>
    <xf numFmtId="0" fontId="42" fillId="20" borderId="19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0" borderId="0" xfId="0" applyFont="1">
      <alignment vertical="center"/>
    </xf>
    <xf numFmtId="0" fontId="2" fillId="4" borderId="0" xfId="0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58" fontId="3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0" fontId="0" fillId="0" borderId="0" xfId="0" applyFill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1" xfId="0" applyFont="1" applyFill="1" applyBorder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3" fillId="0" borderId="0" xfId="0" applyFont="1">
      <alignment vertical="center"/>
    </xf>
    <xf numFmtId="0" fontId="0" fillId="9" borderId="0" xfId="0" applyFill="1">
      <alignment vertical="center"/>
    </xf>
    <xf numFmtId="0" fontId="0" fillId="8" borderId="0" xfId="0" applyFill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7" fontId="15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58" fontId="16" fillId="0" borderId="1" xfId="0" applyNumberFormat="1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58" fontId="16" fillId="9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58" fontId="16" fillId="0" borderId="1" xfId="0" applyNumberFormat="1" applyFont="1" applyFill="1" applyBorder="1" applyAlignment="1">
      <alignment horizontal="center" vertical="center"/>
    </xf>
    <xf numFmtId="58" fontId="16" fillId="3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58" fontId="16" fillId="8" borderId="1" xfId="0" applyNumberFormat="1" applyFont="1" applyFill="1" applyBorder="1" applyAlignment="1">
      <alignment horizontal="center" vertical="center"/>
    </xf>
    <xf numFmtId="58" fontId="16" fillId="0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58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58" fontId="17" fillId="9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58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7" fontId="15" fillId="3" borderId="6" xfId="0" applyNumberFormat="1" applyFont="1" applyFill="1" applyBorder="1" applyAlignment="1">
      <alignment horizontal="center" vertical="center"/>
    </xf>
    <xf numFmtId="177" fontId="15" fillId="3" borderId="7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58" fontId="3" fillId="13" borderId="1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58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58" fontId="20" fillId="9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58" fontId="20" fillId="0" borderId="7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0" fillId="9" borderId="1" xfId="0" applyFill="1" applyBorder="1">
      <alignment vertical="center"/>
    </xf>
    <xf numFmtId="0" fontId="0" fillId="0" borderId="6" xfId="0" applyBorder="1">
      <alignment vertical="center"/>
    </xf>
    <xf numFmtId="0" fontId="20" fillId="0" borderId="6" xfId="0" applyFont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8" fillId="4" borderId="0" xfId="0" applyFont="1" applyFill="1">
      <alignment vertical="center"/>
    </xf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58" fontId="0" fillId="0" borderId="0" xfId="0" applyNumberFormat="1">
      <alignment vertical="center"/>
    </xf>
    <xf numFmtId="0" fontId="0" fillId="3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5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4" fillId="4" borderId="0" xfId="0" applyFont="1" applyFill="1" applyAlignment="1">
      <alignment horizontal="center" vertical="center"/>
    </xf>
    <xf numFmtId="58" fontId="25" fillId="0" borderId="1" xfId="0" applyNumberFormat="1" applyFont="1" applyFill="1" applyBorder="1">
      <alignment vertical="center"/>
    </xf>
    <xf numFmtId="58" fontId="25" fillId="4" borderId="1" xfId="0" applyNumberFormat="1" applyFont="1" applyFill="1" applyBorder="1">
      <alignment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>
      <alignment vertical="center"/>
    </xf>
    <xf numFmtId="0" fontId="27" fillId="0" borderId="0" xfId="0" applyFont="1">
      <alignment vertical="center"/>
    </xf>
    <xf numFmtId="178" fontId="20" fillId="0" borderId="0" xfId="0" applyNumberFormat="1" applyFont="1" applyAlignment="1">
      <alignment horizontal="center" vertical="center" wrapText="1"/>
    </xf>
    <xf numFmtId="58" fontId="25" fillId="14" borderId="1" xfId="0" applyNumberFormat="1" applyFont="1" applyFill="1" applyBorder="1">
      <alignment vertical="center"/>
    </xf>
    <xf numFmtId="58" fontId="9" fillId="14" borderId="0" xfId="0" applyNumberFormat="1" applyFont="1" applyFill="1">
      <alignment vertical="center"/>
    </xf>
    <xf numFmtId="0" fontId="30" fillId="0" borderId="0" xfId="0" applyFont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5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vertical="center" wrapText="1"/>
    </xf>
    <xf numFmtId="58" fontId="0" fillId="0" borderId="6" xfId="0" applyNumberFormat="1" applyBorder="1" applyAlignment="1">
      <alignment horizontal="center" vertical="center" wrapText="1"/>
    </xf>
    <xf numFmtId="58" fontId="0" fillId="0" borderId="12" xfId="0" applyNumberFormat="1" applyBorder="1" applyAlignment="1">
      <alignment horizontal="center" vertical="center" wrapText="1"/>
    </xf>
    <xf numFmtId="58" fontId="0" fillId="0" borderId="7" xfId="0" applyNumberFormat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pin" dx="16" fmlaLink="$B$2" max="2034" min="2024" page="10" val="2025"/>
</file>

<file path=xl/ctrlProps/ctrlProp2.xml><?xml version="1.0" encoding="utf-8"?>
<formControlPr xmlns="http://schemas.microsoft.com/office/spreadsheetml/2009/9/main" objectType="Spin" dx="16" fmlaLink="$E$2" max="12" min="1" page="10" val="12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171450</xdr:colOff>
          <xdr:row>0</xdr:row>
          <xdr:rowOff>428625</xdr:rowOff>
        </xdr:from>
        <xdr:to>
          <xdr:col>2</xdr:col>
          <xdr:colOff>361950</xdr:colOff>
          <xdr:row>2</xdr:row>
          <xdr:rowOff>9525</xdr:rowOff>
        </xdr:to>
        <xdr:sp>
          <xdr:nvSpPr>
            <xdr:cNvPr id="1025" name="Spinne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483360" y="428625"/>
              <a:ext cx="1905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0</xdr:row>
          <xdr:rowOff>428625</xdr:rowOff>
        </xdr:from>
        <xdr:to>
          <xdr:col>5</xdr:col>
          <xdr:colOff>381000</xdr:colOff>
          <xdr:row>2</xdr:row>
          <xdr:rowOff>9525</xdr:rowOff>
        </xdr:to>
        <xdr:sp>
          <xdr:nvSpPr>
            <xdr:cNvPr id="1026" name="Spinner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100070" y="428625"/>
              <a:ext cx="1905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635</xdr:colOff>
      <xdr:row>1</xdr:row>
      <xdr:rowOff>352425</xdr:rowOff>
    </xdr:from>
    <xdr:to>
      <xdr:col>0</xdr:col>
      <xdr:colOff>590550</xdr:colOff>
      <xdr:row>1</xdr:row>
      <xdr:rowOff>355600</xdr:rowOff>
    </xdr:to>
    <xdr:cxnSp>
      <xdr:nvCxnSpPr>
        <xdr:cNvPr id="6" name="直接连接符 5"/>
        <xdr:cNvCxnSpPr/>
      </xdr:nvCxnSpPr>
      <xdr:spPr>
        <a:xfrm>
          <a:off x="635" y="796925"/>
          <a:ext cx="589915" cy="3175"/>
        </a:xfrm>
        <a:prstGeom prst="line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7" name="文本框 6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8" name="文本框 7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12" name="文本框 11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13" name="文本框 12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17" name="文本框 16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18" name="文本框 17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22" name="文本框 21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23" name="文本框 22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27" name="文本框 26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28" name="文本框 27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32" name="文本框 31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33" name="文本框 32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37" name="文本框 36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38" name="文本框 37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42" name="文本框 41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43" name="文本框 42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47" name="文本框 46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48" name="文本框 47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52" name="文本框 51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0</xdr:rowOff>
    </xdr:from>
    <xdr:ext cx="371475" cy="488315"/>
    <xdr:sp>
      <xdr:nvSpPr>
        <xdr:cNvPr id="53" name="文本框 52"/>
        <xdr:cNvSpPr txBox="1"/>
      </xdr:nvSpPr>
      <xdr:spPr>
        <a:xfrm>
          <a:off x="323850" y="800100"/>
          <a:ext cx="371475" cy="4883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  <xdr:oneCellAnchor>
    <xdr:from>
      <xdr:col>0</xdr:col>
      <xdr:colOff>85725</xdr:colOff>
      <xdr:row>2</xdr:row>
      <xdr:rowOff>0</xdr:rowOff>
    </xdr:from>
    <xdr:ext cx="434975" cy="300355"/>
    <xdr:sp>
      <xdr:nvSpPr>
        <xdr:cNvPr id="57" name="文本框 56"/>
        <xdr:cNvSpPr txBox="1"/>
      </xdr:nvSpPr>
      <xdr:spPr>
        <a:xfrm>
          <a:off x="85725" y="800100"/>
          <a:ext cx="434975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oneCellAnchor>
  <xdr:oneCellAnchor>
    <xdr:from>
      <xdr:col>0</xdr:col>
      <xdr:colOff>323850</xdr:colOff>
      <xdr:row>2</xdr:row>
      <xdr:rowOff>149860</xdr:rowOff>
    </xdr:from>
    <xdr:ext cx="371475" cy="336550"/>
    <xdr:sp>
      <xdr:nvSpPr>
        <xdr:cNvPr id="58" name="文本框 57"/>
        <xdr:cNvSpPr txBox="1"/>
      </xdr:nvSpPr>
      <xdr:spPr>
        <a:xfrm>
          <a:off x="323850" y="949960"/>
          <a:ext cx="371475" cy="3365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  <xdr:twoCellAnchor>
    <xdr:from>
      <xdr:col>0</xdr:col>
      <xdr:colOff>635</xdr:colOff>
      <xdr:row>3</xdr:row>
      <xdr:rowOff>161925</xdr:rowOff>
    </xdr:from>
    <xdr:to>
      <xdr:col>0</xdr:col>
      <xdr:colOff>590550</xdr:colOff>
      <xdr:row>4</xdr:row>
      <xdr:rowOff>428625</xdr:rowOff>
    </xdr:to>
    <xdr:cxnSp>
      <xdr:nvCxnSpPr>
        <xdr:cNvPr id="61" name="直接连接符 60"/>
        <xdr:cNvCxnSpPr/>
      </xdr:nvCxnSpPr>
      <xdr:spPr>
        <a:xfrm>
          <a:off x="635" y="1175385"/>
          <a:ext cx="589915" cy="470535"/>
        </a:xfrm>
        <a:prstGeom prst="line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</xdr:colOff>
      <xdr:row>4</xdr:row>
      <xdr:rowOff>209550</xdr:rowOff>
    </xdr:from>
    <xdr:ext cx="434975" cy="258445"/>
    <xdr:sp>
      <xdr:nvSpPr>
        <xdr:cNvPr id="62" name="文本框 61"/>
        <xdr:cNvSpPr txBox="1"/>
      </xdr:nvSpPr>
      <xdr:spPr>
        <a:xfrm>
          <a:off x="85725" y="1436370"/>
          <a:ext cx="434975" cy="2584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姓名</a:t>
          </a:r>
          <a:endParaRPr lang="zh-CN" altLang="en-US" sz="1100"/>
        </a:p>
      </xdr:txBody>
    </xdr:sp>
    <xdr:clientData/>
  </xdr:oneCellAnchor>
  <xdr:oneCellAnchor>
    <xdr:from>
      <xdr:col>0</xdr:col>
      <xdr:colOff>323850</xdr:colOff>
      <xdr:row>4</xdr:row>
      <xdr:rowOff>38735</xdr:rowOff>
    </xdr:from>
    <xdr:ext cx="371475" cy="404495"/>
    <xdr:sp>
      <xdr:nvSpPr>
        <xdr:cNvPr id="63" name="文本框 62"/>
        <xdr:cNvSpPr txBox="1"/>
      </xdr:nvSpPr>
      <xdr:spPr>
        <a:xfrm>
          <a:off x="323850" y="1265555"/>
          <a:ext cx="371475" cy="4044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/>
            <a:t>日期</a:t>
          </a:r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workbookViewId="0">
      <selection activeCell="F35" sqref="F35"/>
    </sheetView>
  </sheetViews>
  <sheetFormatPr defaultColWidth="9" defaultRowHeight="16.8"/>
  <cols>
    <col min="1" max="1" width="10.6346153846154" customWidth="1"/>
    <col min="2" max="2" width="11.8846153846154" customWidth="1"/>
    <col min="3" max="3" width="18.8846153846154" customWidth="1"/>
    <col min="4" max="4" width="12.8846153846154" customWidth="1"/>
    <col min="5" max="5" width="13.6346153846154" customWidth="1"/>
    <col min="6" max="6" width="22" customWidth="1"/>
    <col min="7" max="7" width="11" customWidth="1"/>
    <col min="8" max="8" width="12" customWidth="1"/>
    <col min="9" max="9" width="11.375" customWidth="1"/>
    <col min="10" max="10" width="10.625" customWidth="1"/>
    <col min="11" max="11" width="11.5" customWidth="1"/>
    <col min="12" max="12" width="10.25" customWidth="1"/>
  </cols>
  <sheetData>
    <row r="1" customFormat="1" ht="23.2" spans="1:12">
      <c r="A1" s="156" t="s">
        <v>0</v>
      </c>
      <c r="B1" s="156"/>
      <c r="C1" s="156"/>
      <c r="D1" s="156"/>
      <c r="E1" s="156"/>
      <c r="F1" s="156"/>
      <c r="G1" s="166" t="s">
        <v>1</v>
      </c>
      <c r="H1" s="156"/>
      <c r="I1" s="156"/>
      <c r="J1" s="156"/>
      <c r="K1" s="156"/>
      <c r="L1" s="156"/>
    </row>
    <row r="2" customFormat="1" ht="24" customHeight="1" spans="1:12">
      <c r="A2" s="157" t="s">
        <v>2</v>
      </c>
      <c r="B2" s="157" t="s">
        <v>3</v>
      </c>
      <c r="C2" s="157" t="s">
        <v>4</v>
      </c>
      <c r="D2" s="157" t="s">
        <v>5</v>
      </c>
      <c r="E2" s="157" t="s">
        <v>6</v>
      </c>
      <c r="F2" s="167"/>
      <c r="G2" s="31" t="s">
        <v>7</v>
      </c>
      <c r="H2" s="31" t="s">
        <v>8</v>
      </c>
      <c r="I2" s="31" t="s">
        <v>9</v>
      </c>
      <c r="J2" s="31" t="s">
        <v>10</v>
      </c>
      <c r="K2" s="31" t="s">
        <v>11</v>
      </c>
      <c r="L2" s="160" t="s">
        <v>12</v>
      </c>
    </row>
    <row r="3" customFormat="1" spans="1:12">
      <c r="A3" s="157"/>
      <c r="B3" s="157"/>
      <c r="C3" s="157"/>
      <c r="D3" s="157"/>
      <c r="E3" s="157"/>
      <c r="F3" s="167"/>
      <c r="G3" s="31" t="s">
        <v>13</v>
      </c>
      <c r="H3" s="31"/>
      <c r="I3" s="31"/>
      <c r="J3" s="31"/>
      <c r="K3" s="31"/>
      <c r="L3" s="160"/>
    </row>
    <row r="4" customFormat="1" ht="34" spans="1:12">
      <c r="A4" s="158"/>
      <c r="B4" s="159">
        <v>45903</v>
      </c>
      <c r="C4" s="160" t="s">
        <v>14</v>
      </c>
      <c r="D4" s="160">
        <f>1940*0.01*3</f>
        <v>58.2</v>
      </c>
      <c r="E4" s="159" t="s">
        <v>15</v>
      </c>
      <c r="F4" s="168"/>
      <c r="G4" s="31"/>
      <c r="H4" s="31"/>
      <c r="I4" s="31"/>
      <c r="J4" s="31"/>
      <c r="K4" s="31"/>
      <c r="L4" s="160"/>
    </row>
    <row r="5" customFormat="1" ht="34" spans="1:12">
      <c r="A5" s="158"/>
      <c r="B5" s="159">
        <v>45904</v>
      </c>
      <c r="C5" s="160" t="s">
        <v>16</v>
      </c>
      <c r="D5" s="160">
        <f>3000*0.006*3</f>
        <v>54</v>
      </c>
      <c r="E5" s="159" t="s">
        <v>17</v>
      </c>
      <c r="F5" s="168"/>
      <c r="G5" s="31"/>
      <c r="H5" s="31"/>
      <c r="I5" s="31"/>
      <c r="J5" s="31"/>
      <c r="K5" s="31"/>
      <c r="L5" s="160"/>
    </row>
    <row r="6" customFormat="1" spans="1:12">
      <c r="A6" s="158"/>
      <c r="B6" s="161"/>
      <c r="C6" s="160"/>
      <c r="D6" s="160"/>
      <c r="E6" s="159"/>
      <c r="F6" s="168"/>
      <c r="G6" s="31"/>
      <c r="H6" s="31"/>
      <c r="I6" s="31"/>
      <c r="J6" s="31"/>
      <c r="K6" s="31"/>
      <c r="L6" s="160"/>
    </row>
    <row r="7" customFormat="1" spans="1:6">
      <c r="A7" s="158"/>
      <c r="B7" s="161"/>
      <c r="C7" s="160"/>
      <c r="D7" s="160"/>
      <c r="E7" s="159"/>
      <c r="F7" s="168"/>
    </row>
    <row r="8" customFormat="1" spans="1:6">
      <c r="A8" s="158"/>
      <c r="B8" s="161"/>
      <c r="C8" s="160"/>
      <c r="D8" s="160"/>
      <c r="E8" s="160"/>
      <c r="F8" s="44"/>
    </row>
    <row r="9" customFormat="1" spans="1:6">
      <c r="A9" s="158"/>
      <c r="B9" s="161"/>
      <c r="C9" s="160"/>
      <c r="D9" s="160"/>
      <c r="E9" s="160"/>
      <c r="F9" s="169"/>
    </row>
    <row r="10" customFormat="1" spans="1:5">
      <c r="A10" s="158"/>
      <c r="B10" s="159"/>
      <c r="C10" s="160"/>
      <c r="D10" s="160"/>
      <c r="E10" s="160"/>
    </row>
    <row r="11" customFormat="1" spans="1:5">
      <c r="A11" s="158"/>
      <c r="B11" s="159"/>
      <c r="C11" s="160"/>
      <c r="D11" s="160"/>
      <c r="E11" s="160"/>
    </row>
    <row r="12" customFormat="1" spans="1:5">
      <c r="A12" s="158"/>
      <c r="B12" s="159"/>
      <c r="C12" s="160"/>
      <c r="D12" s="160"/>
      <c r="E12" s="160"/>
    </row>
    <row r="13" customFormat="1" spans="1:5">
      <c r="A13" s="158"/>
      <c r="B13" s="162"/>
      <c r="C13" s="160"/>
      <c r="D13" s="160"/>
      <c r="E13" s="160"/>
    </row>
    <row r="14" customFormat="1" spans="1:5">
      <c r="A14" s="158"/>
      <c r="B14" s="163"/>
      <c r="C14" s="160"/>
      <c r="D14" s="160"/>
      <c r="E14" s="160"/>
    </row>
    <row r="15" customFormat="1" spans="1:5">
      <c r="A15" s="158"/>
      <c r="B15" s="163"/>
      <c r="C15" s="160"/>
      <c r="D15" s="160"/>
      <c r="E15" s="160"/>
    </row>
    <row r="16" customFormat="1" hidden="1" spans="1:5">
      <c r="A16" s="158"/>
      <c r="B16" s="164"/>
      <c r="C16" s="160"/>
      <c r="D16" s="160"/>
      <c r="E16" s="160"/>
    </row>
    <row r="17" customFormat="1" spans="1:5">
      <c r="A17" s="158"/>
      <c r="B17" s="162"/>
      <c r="C17" s="160"/>
      <c r="D17" s="160"/>
      <c r="E17" s="160"/>
    </row>
    <row r="18" customFormat="1" spans="1:5">
      <c r="A18" s="158"/>
      <c r="B18" s="163"/>
      <c r="C18" s="160"/>
      <c r="D18" s="160"/>
      <c r="E18" s="160"/>
    </row>
    <row r="19" customFormat="1" spans="1:5">
      <c r="A19" s="158"/>
      <c r="B19" s="164"/>
      <c r="C19" s="160"/>
      <c r="D19" s="160"/>
      <c r="E19" s="160"/>
    </row>
    <row r="20" customFormat="1" spans="1:5">
      <c r="A20" s="158"/>
      <c r="B20" s="159"/>
      <c r="C20" s="160"/>
      <c r="D20" s="160"/>
      <c r="E20" s="160"/>
    </row>
    <row r="21" customFormat="1" spans="1:5">
      <c r="A21" s="158"/>
      <c r="B21" s="159"/>
      <c r="C21" s="160"/>
      <c r="D21" s="160"/>
      <c r="E21" s="160"/>
    </row>
    <row r="22" customFormat="1" spans="1:5">
      <c r="A22" s="158"/>
      <c r="B22" s="159"/>
      <c r="C22" s="160"/>
      <c r="D22" s="160"/>
      <c r="E22" s="160"/>
    </row>
    <row r="23" customFormat="1" spans="1:5">
      <c r="A23" s="158"/>
      <c r="B23" s="159"/>
      <c r="C23" s="160"/>
      <c r="D23" s="160"/>
      <c r="E23" s="160"/>
    </row>
    <row r="24" customFormat="1" spans="1:5">
      <c r="A24" s="158"/>
      <c r="B24" s="159"/>
      <c r="C24" s="160"/>
      <c r="D24" s="160"/>
      <c r="E24" s="160"/>
    </row>
    <row r="25" customFormat="1" spans="1:5">
      <c r="A25" s="158"/>
      <c r="B25" s="159"/>
      <c r="C25" s="160"/>
      <c r="D25" s="160"/>
      <c r="E25" s="160"/>
    </row>
    <row r="26" customFormat="1" spans="1:5">
      <c r="A26" s="158"/>
      <c r="B26" s="159"/>
      <c r="C26" s="160"/>
      <c r="D26" s="160"/>
      <c r="E26" s="160"/>
    </row>
    <row r="27" customFormat="1" spans="1:5">
      <c r="A27" s="158"/>
      <c r="B27" s="159"/>
      <c r="C27" s="160"/>
      <c r="D27" s="160"/>
      <c r="E27" s="160"/>
    </row>
    <row r="28" customFormat="1" spans="1:5">
      <c r="A28" s="158"/>
      <c r="B28" s="159"/>
      <c r="C28" s="160"/>
      <c r="D28" s="160"/>
      <c r="E28" s="160"/>
    </row>
    <row r="29" customFormat="1" spans="1:5">
      <c r="A29" s="158"/>
      <c r="B29" s="159"/>
      <c r="C29" s="160"/>
      <c r="D29" s="160"/>
      <c r="E29" s="160"/>
    </row>
    <row r="30" customFormat="1" spans="1:5">
      <c r="A30" s="158"/>
      <c r="B30" s="159"/>
      <c r="C30" s="160"/>
      <c r="D30" s="160"/>
      <c r="E30" s="160"/>
    </row>
    <row r="31" customFormat="1" spans="1:5">
      <c r="A31" s="158"/>
      <c r="B31" s="159"/>
      <c r="C31" s="160"/>
      <c r="D31" s="160"/>
      <c r="E31" s="160"/>
    </row>
    <row r="32" customFormat="1" spans="1:5">
      <c r="A32" s="158"/>
      <c r="B32" s="159"/>
      <c r="C32" s="160"/>
      <c r="D32" s="160"/>
      <c r="E32" s="160"/>
    </row>
    <row r="33" customFormat="1" spans="1:5">
      <c r="A33" s="158"/>
      <c r="B33" s="159"/>
      <c r="C33" s="160"/>
      <c r="D33" s="160"/>
      <c r="E33" s="160"/>
    </row>
    <row r="34" customFormat="1" spans="1:5">
      <c r="A34" s="158"/>
      <c r="B34" s="159"/>
      <c r="C34" s="160"/>
      <c r="D34" s="160"/>
      <c r="E34" s="160"/>
    </row>
    <row r="35" spans="1:5">
      <c r="A35" s="158"/>
      <c r="B35" s="159"/>
      <c r="C35" s="160"/>
      <c r="D35" s="160"/>
      <c r="E35" s="160"/>
    </row>
    <row r="36" spans="1:5">
      <c r="A36" s="158"/>
      <c r="B36" s="159"/>
      <c r="C36" s="160"/>
      <c r="D36" s="160"/>
      <c r="E36" s="160"/>
    </row>
    <row r="37" spans="1:5">
      <c r="A37" s="158"/>
      <c r="B37" s="159"/>
      <c r="C37" s="160"/>
      <c r="D37" s="160"/>
      <c r="E37" s="160"/>
    </row>
    <row r="38" spans="1:5">
      <c r="A38" s="158"/>
      <c r="B38" s="159"/>
      <c r="C38" s="160"/>
      <c r="D38" s="160"/>
      <c r="E38" s="160"/>
    </row>
    <row r="39" spans="1:5">
      <c r="A39" s="158"/>
      <c r="B39" s="159"/>
      <c r="C39" s="160"/>
      <c r="D39" s="160"/>
      <c r="E39" s="160"/>
    </row>
    <row r="40" spans="1:5">
      <c r="A40" s="158"/>
      <c r="B40" s="159"/>
      <c r="C40" s="160"/>
      <c r="D40" s="160"/>
      <c r="E40" s="160"/>
    </row>
    <row r="41" spans="1:5">
      <c r="A41" s="158"/>
      <c r="B41" s="159"/>
      <c r="C41" s="160"/>
      <c r="D41" s="160"/>
      <c r="E41" s="160"/>
    </row>
    <row r="42" spans="1:5">
      <c r="A42" s="158"/>
      <c r="B42" s="159"/>
      <c r="C42" s="160"/>
      <c r="D42" s="160"/>
      <c r="E42" s="160"/>
    </row>
    <row r="43" spans="1:5">
      <c r="A43" s="158"/>
      <c r="B43" s="159"/>
      <c r="C43" s="160"/>
      <c r="D43" s="160"/>
      <c r="E43" s="160"/>
    </row>
    <row r="44" spans="1:5">
      <c r="A44" s="158"/>
      <c r="B44" s="159"/>
      <c r="C44" s="160"/>
      <c r="D44" s="160"/>
      <c r="E44" s="160"/>
    </row>
    <row r="45" ht="17" spans="1:5">
      <c r="A45" s="158"/>
      <c r="B45" s="165" t="s">
        <v>18</v>
      </c>
      <c r="C45" s="165"/>
      <c r="D45" s="165">
        <f>SUM(D4:D37)</f>
        <v>112.2</v>
      </c>
      <c r="E45" s="165"/>
    </row>
  </sheetData>
  <mergeCells count="4">
    <mergeCell ref="A1:E1"/>
    <mergeCell ref="G1:L1"/>
    <mergeCell ref="B13:B16"/>
    <mergeCell ref="B17:B1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AE18"/>
  <sheetViews>
    <sheetView tabSelected="1" zoomScale="147" zoomScaleNormal="147" workbookViewId="0">
      <selection activeCell="F11" sqref="F11"/>
    </sheetView>
  </sheetViews>
  <sheetFormatPr defaultColWidth="9" defaultRowHeight="16.8"/>
  <cols>
    <col min="1" max="1" width="11.8557692307692" style="15" customWidth="1"/>
    <col min="2" max="2" width="8.00961538461539" style="15" customWidth="1"/>
    <col min="3" max="3" width="8.81730769230769" style="15" customWidth="1"/>
    <col min="4" max="4" width="7.84615384615385" customWidth="1"/>
    <col min="5" max="5" width="7.52884615384615" customWidth="1"/>
    <col min="6" max="6" width="7.68269230769231" customWidth="1"/>
    <col min="7" max="7" width="7.52884615384615" customWidth="1"/>
    <col min="8" max="8" width="7.84615384615385" customWidth="1"/>
    <col min="9" max="9" width="7.625" customWidth="1"/>
    <col min="10" max="10" width="8.80769230769231" customWidth="1"/>
    <col min="11" max="11" width="8.97115384615385" customWidth="1"/>
    <col min="12" max="12" width="8.49038461538461" customWidth="1"/>
    <col min="13" max="13" width="8.32692307692308" customWidth="1"/>
    <col min="14" max="14" width="8.80769230769231" customWidth="1"/>
    <col min="15" max="15" width="8.64423076923077" customWidth="1"/>
    <col min="16" max="16" width="8.32692307692308" customWidth="1"/>
    <col min="17" max="17" width="8.80769230769231" customWidth="1"/>
    <col min="18" max="18" width="8.97115384615385" customWidth="1"/>
    <col min="19" max="19" width="9.44230769230769" customWidth="1"/>
    <col min="20" max="20" width="8.65384615384615" customWidth="1"/>
    <col min="21" max="21" width="10.0961538461538" customWidth="1"/>
    <col min="22" max="22" width="9.28846153846154" customWidth="1"/>
    <col min="23" max="23" width="9.76923076923077" customWidth="1"/>
    <col min="24" max="24" width="9.45192307692308" customWidth="1"/>
    <col min="25" max="25" width="8.48076923076923" customWidth="1"/>
    <col min="26" max="26" width="9.28846153846154" customWidth="1"/>
    <col min="27" max="27" width="8.49038461538461" customWidth="1"/>
    <col min="28" max="28" width="9.13461538461539" customWidth="1"/>
    <col min="29" max="30" width="8.97115384615385" customWidth="1"/>
    <col min="31" max="31" width="9.125"/>
  </cols>
  <sheetData>
    <row r="1" s="15" customFormat="1" ht="35" customHeight="1" spans="1:29">
      <c r="A1" s="141" t="str">
        <f>"丸碧考勤表"&amp;B2&amp;"年"&amp;E2&amp;"月考勤表"</f>
        <v>丸碧考勤表2025年12月考勤表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</row>
    <row r="2" customFormat="1" ht="28" customHeight="1" spans="1:30">
      <c r="A2" s="15" t="s">
        <v>19</v>
      </c>
      <c r="B2" s="15">
        <v>2025</v>
      </c>
      <c r="C2" s="15"/>
      <c r="D2" t="s">
        <v>20</v>
      </c>
      <c r="E2">
        <v>12</v>
      </c>
      <c r="G2" t="s">
        <v>21</v>
      </c>
      <c r="I2" t="s">
        <v>22</v>
      </c>
      <c r="J2" s="152" t="s">
        <v>23</v>
      </c>
      <c r="K2" t="s">
        <v>24</v>
      </c>
      <c r="L2" s="152" t="s">
        <v>25</v>
      </c>
      <c r="AD2" s="15"/>
    </row>
    <row r="5" ht="33" customHeight="1" spans="1:31">
      <c r="A5" s="142"/>
      <c r="B5" s="143">
        <v>45992</v>
      </c>
      <c r="C5" s="143">
        <v>45994</v>
      </c>
      <c r="D5" s="143">
        <v>45995</v>
      </c>
      <c r="E5" s="143">
        <v>45996</v>
      </c>
      <c r="F5" s="143">
        <v>45997</v>
      </c>
      <c r="G5" s="143">
        <v>45998</v>
      </c>
      <c r="H5" s="143">
        <v>45999</v>
      </c>
      <c r="I5" s="143">
        <v>46000</v>
      </c>
      <c r="J5" s="143">
        <v>46001</v>
      </c>
      <c r="K5" s="143">
        <v>46002</v>
      </c>
      <c r="L5" s="143">
        <v>46003</v>
      </c>
      <c r="M5" s="143">
        <v>46004</v>
      </c>
      <c r="N5" s="143">
        <v>46005</v>
      </c>
      <c r="O5" s="143">
        <v>46006</v>
      </c>
      <c r="P5" s="143">
        <v>46007</v>
      </c>
      <c r="Q5" s="143">
        <v>46008</v>
      </c>
      <c r="R5" s="143">
        <v>46009</v>
      </c>
      <c r="S5" s="143">
        <v>46010</v>
      </c>
      <c r="T5" s="143">
        <v>46011</v>
      </c>
      <c r="U5" s="143">
        <v>46012</v>
      </c>
      <c r="V5" s="143">
        <v>46013</v>
      </c>
      <c r="W5" s="143">
        <v>46014</v>
      </c>
      <c r="X5" s="143">
        <v>46015</v>
      </c>
      <c r="Y5" s="143">
        <v>46016</v>
      </c>
      <c r="Z5" s="143">
        <v>46017</v>
      </c>
      <c r="AA5" s="143" t="s">
        <v>26</v>
      </c>
      <c r="AB5" s="143">
        <v>46019</v>
      </c>
      <c r="AC5" s="154">
        <v>46020</v>
      </c>
      <c r="AD5" s="154">
        <v>46021</v>
      </c>
      <c r="AE5" s="155">
        <v>46022</v>
      </c>
    </row>
    <row r="6" ht="24" customHeight="1" spans="1:30">
      <c r="A6" s="144" t="s">
        <v>27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</row>
    <row r="7" ht="24" customHeight="1" spans="1:30">
      <c r="A7" s="144" t="s">
        <v>28</v>
      </c>
      <c r="B7" s="145"/>
      <c r="C7" s="145"/>
      <c r="D7" s="145"/>
      <c r="E7" s="145"/>
      <c r="F7" s="145"/>
      <c r="G7" s="145"/>
      <c r="H7" s="150"/>
      <c r="I7" s="150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</row>
    <row r="8" ht="24" customHeight="1" spans="1:30">
      <c r="A8" s="144" t="s">
        <v>29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</row>
    <row r="9" ht="26" customHeight="1" spans="2:29">
      <c r="B9" s="146"/>
      <c r="C9" s="146"/>
      <c r="D9" s="146"/>
      <c r="E9" s="146"/>
      <c r="F9" s="146"/>
      <c r="G9" s="151"/>
      <c r="H9" s="146"/>
      <c r="I9" s="146"/>
      <c r="J9" s="146"/>
      <c r="K9" s="146"/>
      <c r="L9" s="146"/>
      <c r="M9" s="151"/>
      <c r="N9" s="146"/>
      <c r="O9" s="146"/>
      <c r="P9" s="146"/>
      <c r="Q9" s="146"/>
      <c r="R9" s="146"/>
      <c r="S9" s="151"/>
      <c r="T9" s="151"/>
      <c r="U9" s="146"/>
      <c r="V9" s="151"/>
      <c r="W9" s="146"/>
      <c r="X9" s="146"/>
      <c r="Y9" s="146"/>
      <c r="Z9" s="146"/>
      <c r="AA9" s="146"/>
      <c r="AB9" s="151"/>
      <c r="AC9" s="146"/>
    </row>
    <row r="10" ht="26" customHeight="1" spans="2:29">
      <c r="B10" s="146"/>
      <c r="C10" s="146"/>
      <c r="D10" s="146"/>
      <c r="E10" s="146"/>
      <c r="F10" s="146"/>
      <c r="G10" s="151"/>
      <c r="H10" s="146"/>
      <c r="I10" s="146"/>
      <c r="J10" s="146"/>
      <c r="K10" s="146"/>
      <c r="L10" s="146"/>
      <c r="M10" s="151"/>
      <c r="N10" s="146"/>
      <c r="O10" s="146"/>
      <c r="P10" s="146"/>
      <c r="Q10" s="146"/>
      <c r="R10" s="146"/>
      <c r="S10" s="151"/>
      <c r="T10" s="151"/>
      <c r="U10" s="146"/>
      <c r="V10" s="151"/>
      <c r="W10" s="146"/>
      <c r="X10" s="146"/>
      <c r="Y10" s="146"/>
      <c r="Z10" s="146"/>
      <c r="AA10" s="146"/>
      <c r="AB10" s="151"/>
      <c r="AC10" s="146"/>
    </row>
    <row r="11" ht="26" customHeight="1" spans="2:29">
      <c r="B11" s="146"/>
      <c r="C11" s="146"/>
      <c r="D11" s="146"/>
      <c r="E11" s="146"/>
      <c r="F11" s="146"/>
      <c r="G11" s="151"/>
      <c r="H11" s="146"/>
      <c r="I11" s="146"/>
      <c r="J11" s="146"/>
      <c r="K11" s="146"/>
      <c r="L11" s="146"/>
      <c r="M11" s="151"/>
      <c r="N11" s="146"/>
      <c r="O11" s="146"/>
      <c r="P11" s="146"/>
      <c r="Q11" s="146"/>
      <c r="R11" s="146"/>
      <c r="S11" s="151"/>
      <c r="T11" s="151"/>
      <c r="U11" s="146"/>
      <c r="V11" s="151"/>
      <c r="W11" s="146"/>
      <c r="X11" s="146"/>
      <c r="Y11" s="146"/>
      <c r="Z11" s="146"/>
      <c r="AA11" s="146"/>
      <c r="AB11" s="151"/>
      <c r="AC11" s="146"/>
    </row>
    <row r="12" spans="1:10">
      <c r="A12" s="147"/>
      <c r="B12" s="148"/>
      <c r="C12" s="148"/>
      <c r="D12" s="148"/>
      <c r="E12" s="148"/>
      <c r="F12" s="148"/>
      <c r="G12" s="148"/>
      <c r="H12" s="148"/>
      <c r="I12" s="148"/>
      <c r="J12" s="153"/>
    </row>
    <row r="14" spans="1:2">
      <c r="A14" s="15" t="s">
        <v>30</v>
      </c>
      <c r="B14" s="15">
        <v>0</v>
      </c>
    </row>
    <row r="15" spans="1:2">
      <c r="A15" s="15" t="s">
        <v>31</v>
      </c>
      <c r="B15" s="149">
        <v>0.04</v>
      </c>
    </row>
    <row r="16" spans="1:2">
      <c r="A16" s="15" t="s">
        <v>32</v>
      </c>
      <c r="B16" s="149">
        <v>0.05</v>
      </c>
    </row>
    <row r="17" spans="1:2">
      <c r="A17" s="15" t="s">
        <v>33</v>
      </c>
      <c r="B17" s="149">
        <v>0.06</v>
      </c>
    </row>
    <row r="18" spans="1:2">
      <c r="A18" s="15" t="s">
        <v>34</v>
      </c>
      <c r="B18" s="149">
        <v>0.07</v>
      </c>
    </row>
  </sheetData>
  <mergeCells count="1">
    <mergeCell ref="A1:AC1"/>
  </mergeCells>
  <dataValidations count="1">
    <dataValidation type="list" allowBlank="1" showInputMessage="1" showErrorMessage="1" sqref="B6:AD8">
      <formula1>"√,休,学习"</formula1>
    </dataValidation>
  </dataValidations>
  <pageMargins left="0.0548611111111111" right="0.0548611111111111" top="0.751388888888889" bottom="0.751388888888889" header="0.298611111111111" footer="0.298611111111111"/>
  <pageSetup paperSize="8" orientation="landscape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Spinner 1" r:id="rId3">
              <controlPr defaultSize="0">
                <anchor moveWithCells="1">
                  <from>
                    <xdr:col>2</xdr:col>
                    <xdr:colOff>171450</xdr:colOff>
                    <xdr:row>0</xdr:row>
                    <xdr:rowOff>428625</xdr:rowOff>
                  </from>
                  <to>
                    <xdr:col>2</xdr:col>
                    <xdr:colOff>361950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Spinner 2" r:id="rId4">
              <controlPr defaultSize="0">
                <anchor moveWithCells="1">
                  <from>
                    <xdr:col>5</xdr:col>
                    <xdr:colOff>190500</xdr:colOff>
                    <xdr:row>0</xdr:row>
                    <xdr:rowOff>428625</xdr:rowOff>
                  </from>
                  <to>
                    <xdr:col>5</xdr:col>
                    <xdr:colOff>381000</xdr:colOff>
                    <xdr:row>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workbookViewId="0">
      <selection activeCell="C72" sqref="C72"/>
    </sheetView>
  </sheetViews>
  <sheetFormatPr defaultColWidth="9" defaultRowHeight="16.8"/>
  <cols>
    <col min="1" max="1" width="9.125"/>
    <col min="2" max="2" width="14.5" customWidth="1"/>
    <col min="3" max="3" width="28.625" customWidth="1"/>
    <col min="4" max="6" width="10.75" customWidth="1"/>
    <col min="7" max="7" width="11.875" customWidth="1"/>
    <col min="8" max="8" width="20.75" customWidth="1"/>
    <col min="9" max="9" width="14.5" customWidth="1"/>
  </cols>
  <sheetData>
    <row r="1" ht="20.4" spans="1:9">
      <c r="A1" s="128" t="s">
        <v>3</v>
      </c>
      <c r="B1" s="128" t="s">
        <v>35</v>
      </c>
      <c r="C1" s="129" t="s">
        <v>36</v>
      </c>
      <c r="D1" s="128" t="s">
        <v>37</v>
      </c>
      <c r="E1" s="128" t="s">
        <v>8</v>
      </c>
      <c r="F1" s="128" t="s">
        <v>9</v>
      </c>
      <c r="G1" s="128" t="s">
        <v>38</v>
      </c>
      <c r="H1" s="128" t="s">
        <v>39</v>
      </c>
      <c r="I1" s="128" t="s">
        <v>6</v>
      </c>
    </row>
    <row r="2" ht="18" customHeight="1" spans="1:9">
      <c r="A2" s="130"/>
      <c r="B2" s="130"/>
      <c r="C2" s="131"/>
      <c r="D2" s="132">
        <f>SUM(D3:D276)</f>
        <v>36789.9</v>
      </c>
      <c r="E2" s="132">
        <f>SUM(E3:E276)</f>
        <v>0</v>
      </c>
      <c r="F2" s="132">
        <f>SUM(F3:F276)</f>
        <v>0</v>
      </c>
      <c r="G2" s="130"/>
      <c r="H2" s="130" t="s">
        <v>40</v>
      </c>
      <c r="I2" s="130"/>
    </row>
    <row r="3" customFormat="1" spans="1:9">
      <c r="A3" s="133">
        <v>45931</v>
      </c>
      <c r="B3" s="134" t="s">
        <v>41</v>
      </c>
      <c r="C3" s="15"/>
      <c r="D3" s="55">
        <v>299</v>
      </c>
      <c r="E3" s="15"/>
      <c r="F3" s="15"/>
      <c r="G3" s="135" t="s">
        <v>42</v>
      </c>
      <c r="H3" s="15" t="s">
        <v>9</v>
      </c>
      <c r="I3" s="139" t="s">
        <v>43</v>
      </c>
    </row>
    <row r="4" customFormat="1" spans="1:9">
      <c r="A4" s="133">
        <v>45932</v>
      </c>
      <c r="B4" s="15" t="s">
        <v>44</v>
      </c>
      <c r="C4" s="15"/>
      <c r="D4" s="55">
        <v>299</v>
      </c>
      <c r="E4" s="15"/>
      <c r="F4" s="15"/>
      <c r="G4" s="15" t="s">
        <v>29</v>
      </c>
      <c r="H4" s="15" t="s">
        <v>8</v>
      </c>
      <c r="I4" s="139" t="s">
        <v>43</v>
      </c>
    </row>
    <row r="5" customFormat="1" spans="1:9">
      <c r="A5" s="133">
        <v>45932</v>
      </c>
      <c r="B5" s="15" t="s">
        <v>45</v>
      </c>
      <c r="C5" s="15"/>
      <c r="D5" s="55">
        <v>99</v>
      </c>
      <c r="E5" s="15"/>
      <c r="F5" s="15"/>
      <c r="G5" s="15" t="s">
        <v>46</v>
      </c>
      <c r="H5" s="15" t="s">
        <v>47</v>
      </c>
      <c r="I5" s="139" t="s">
        <v>43</v>
      </c>
    </row>
    <row r="6" customFormat="1" spans="1:9">
      <c r="A6" s="133">
        <v>45934</v>
      </c>
      <c r="B6" s="15" t="s">
        <v>48</v>
      </c>
      <c r="C6" s="15" t="s">
        <v>49</v>
      </c>
      <c r="D6" s="55">
        <v>640</v>
      </c>
      <c r="E6" s="15"/>
      <c r="F6" s="15"/>
      <c r="G6" s="15" t="s">
        <v>42</v>
      </c>
      <c r="H6" s="15" t="s">
        <v>8</v>
      </c>
      <c r="I6" s="139" t="s">
        <v>43</v>
      </c>
    </row>
    <row r="7" customFormat="1" spans="1:9">
      <c r="A7" s="133">
        <v>45934</v>
      </c>
      <c r="B7" s="15" t="s">
        <v>50</v>
      </c>
      <c r="C7" s="15" t="s">
        <v>49</v>
      </c>
      <c r="D7" s="55">
        <v>640</v>
      </c>
      <c r="E7" s="15"/>
      <c r="F7" s="15"/>
      <c r="G7" s="15" t="s">
        <v>42</v>
      </c>
      <c r="H7" s="15" t="s">
        <v>8</v>
      </c>
      <c r="I7" s="139" t="s">
        <v>43</v>
      </c>
    </row>
    <row r="8" customFormat="1" spans="1:9">
      <c r="A8" s="133">
        <v>45935</v>
      </c>
      <c r="B8" s="15" t="s">
        <v>51</v>
      </c>
      <c r="C8" s="15" t="s">
        <v>52</v>
      </c>
      <c r="D8" s="55">
        <v>1980</v>
      </c>
      <c r="E8" s="15"/>
      <c r="F8" s="15"/>
      <c r="G8" s="135" t="s">
        <v>42</v>
      </c>
      <c r="H8" s="15"/>
      <c r="I8" s="139" t="s">
        <v>53</v>
      </c>
    </row>
    <row r="9" customFormat="1" spans="1:9">
      <c r="A9" s="133">
        <v>45935</v>
      </c>
      <c r="B9" s="15" t="s">
        <v>54</v>
      </c>
      <c r="C9" s="15" t="s">
        <v>55</v>
      </c>
      <c r="D9" s="55">
        <f>980/2</f>
        <v>490</v>
      </c>
      <c r="E9" s="15"/>
      <c r="F9" s="15"/>
      <c r="G9" s="135" t="s">
        <v>42</v>
      </c>
      <c r="H9" s="15"/>
      <c r="I9" s="139" t="s">
        <v>53</v>
      </c>
    </row>
    <row r="10" customFormat="1" spans="1:9">
      <c r="A10" s="133">
        <v>45935</v>
      </c>
      <c r="B10" s="15"/>
      <c r="C10" s="15"/>
      <c r="D10" s="55">
        <f>980/2</f>
        <v>490</v>
      </c>
      <c r="E10" s="15"/>
      <c r="F10" s="15"/>
      <c r="G10" s="135" t="s">
        <v>56</v>
      </c>
      <c r="H10" s="15"/>
      <c r="I10" s="139" t="s">
        <v>53</v>
      </c>
    </row>
    <row r="11" customFormat="1" spans="1:9">
      <c r="A11" s="133">
        <v>45936</v>
      </c>
      <c r="B11" s="134"/>
      <c r="C11" s="134"/>
      <c r="D11" s="55">
        <v>39.9</v>
      </c>
      <c r="E11" s="15"/>
      <c r="F11" s="15"/>
      <c r="G11" s="135" t="s">
        <v>56</v>
      </c>
      <c r="H11" s="15" t="s">
        <v>57</v>
      </c>
      <c r="I11" s="139" t="s">
        <v>43</v>
      </c>
    </row>
    <row r="12" customFormat="1" spans="1:9">
      <c r="A12" s="133">
        <v>45937</v>
      </c>
      <c r="B12" s="15" t="s">
        <v>58</v>
      </c>
      <c r="C12" s="15" t="s">
        <v>59</v>
      </c>
      <c r="D12" s="55">
        <v>582</v>
      </c>
      <c r="G12" s="15" t="s">
        <v>42</v>
      </c>
      <c r="H12" s="15"/>
      <c r="I12" s="140" t="s">
        <v>60</v>
      </c>
    </row>
    <row r="13" customFormat="1" spans="1:9">
      <c r="A13" s="133">
        <v>45938</v>
      </c>
      <c r="B13" s="15" t="s">
        <v>61</v>
      </c>
      <c r="C13" s="15" t="s">
        <v>62</v>
      </c>
      <c r="D13" s="135">
        <v>299</v>
      </c>
      <c r="E13" s="15"/>
      <c r="F13" s="15"/>
      <c r="G13" s="15" t="s">
        <v>29</v>
      </c>
      <c r="H13" s="15" t="s">
        <v>8</v>
      </c>
      <c r="I13" s="140" t="s">
        <v>43</v>
      </c>
    </row>
    <row r="14" customFormat="1" spans="1:9">
      <c r="A14" s="133">
        <v>45938</v>
      </c>
      <c r="B14" s="15" t="s">
        <v>63</v>
      </c>
      <c r="C14" s="15" t="s">
        <v>64</v>
      </c>
      <c r="D14" s="135">
        <v>980</v>
      </c>
      <c r="E14" s="15"/>
      <c r="F14" s="15"/>
      <c r="G14" s="135" t="s">
        <v>42</v>
      </c>
      <c r="H14" s="15" t="s">
        <v>8</v>
      </c>
      <c r="I14" s="140" t="s">
        <v>43</v>
      </c>
    </row>
    <row r="15" customFormat="1" spans="1:9">
      <c r="A15" s="133">
        <v>45938</v>
      </c>
      <c r="B15" s="15" t="s">
        <v>58</v>
      </c>
      <c r="C15" s="15" t="s">
        <v>65</v>
      </c>
      <c r="D15" s="135">
        <v>128</v>
      </c>
      <c r="E15" s="15"/>
      <c r="F15" s="15"/>
      <c r="G15" s="135" t="s">
        <v>42</v>
      </c>
      <c r="H15" s="15"/>
      <c r="I15" s="140" t="s">
        <v>66</v>
      </c>
    </row>
    <row r="16" customFormat="1" spans="1:9">
      <c r="A16" s="133">
        <v>45938</v>
      </c>
      <c r="B16" s="15" t="s">
        <v>67</v>
      </c>
      <c r="C16" s="15" t="s">
        <v>65</v>
      </c>
      <c r="D16" s="135">
        <v>128</v>
      </c>
      <c r="E16" s="15"/>
      <c r="F16" s="15"/>
      <c r="G16" s="135" t="s">
        <v>29</v>
      </c>
      <c r="H16" s="15"/>
      <c r="I16" s="140" t="s">
        <v>66</v>
      </c>
    </row>
    <row r="17" customFormat="1" spans="1:9">
      <c r="A17" s="133">
        <v>45938</v>
      </c>
      <c r="B17" s="15" t="s">
        <v>68</v>
      </c>
      <c r="C17" s="15" t="s">
        <v>65</v>
      </c>
      <c r="D17" s="135">
        <v>128</v>
      </c>
      <c r="E17" s="15"/>
      <c r="F17" s="15"/>
      <c r="G17" s="52" t="s">
        <v>56</v>
      </c>
      <c r="H17" s="15"/>
      <c r="I17" s="140" t="s">
        <v>66</v>
      </c>
    </row>
    <row r="18" spans="1:9">
      <c r="A18" s="133">
        <v>45938</v>
      </c>
      <c r="B18" s="15" t="s">
        <v>69</v>
      </c>
      <c r="C18" s="15" t="s">
        <v>65</v>
      </c>
      <c r="D18" s="135">
        <v>128</v>
      </c>
      <c r="E18" s="15"/>
      <c r="F18" s="15"/>
      <c r="G18" s="52" t="s">
        <v>29</v>
      </c>
      <c r="H18" s="15"/>
      <c r="I18" s="140" t="s">
        <v>66</v>
      </c>
    </row>
    <row r="19" spans="1:9">
      <c r="A19" s="133">
        <v>45938</v>
      </c>
      <c r="B19" s="52" t="s">
        <v>70</v>
      </c>
      <c r="C19" s="15" t="s">
        <v>65</v>
      </c>
      <c r="D19" s="135">
        <v>128</v>
      </c>
      <c r="E19" s="15"/>
      <c r="F19" s="15"/>
      <c r="G19" s="135" t="s">
        <v>42</v>
      </c>
      <c r="H19" s="15"/>
      <c r="I19" s="140" t="s">
        <v>66</v>
      </c>
    </row>
    <row r="20" spans="1:9">
      <c r="A20" s="133">
        <v>45939</v>
      </c>
      <c r="B20" s="15" t="s">
        <v>71</v>
      </c>
      <c r="C20" s="15" t="s">
        <v>72</v>
      </c>
      <c r="D20" s="135">
        <v>1280</v>
      </c>
      <c r="E20" s="15"/>
      <c r="F20" s="15"/>
      <c r="G20" s="15" t="s">
        <v>29</v>
      </c>
      <c r="H20" s="15"/>
      <c r="I20" s="140" t="s">
        <v>73</v>
      </c>
    </row>
    <row r="21" spans="1:10">
      <c r="A21" s="133">
        <v>45939</v>
      </c>
      <c r="B21" s="15" t="s">
        <v>74</v>
      </c>
      <c r="C21" s="15" t="s">
        <v>75</v>
      </c>
      <c r="D21" s="135">
        <f>980/2</f>
        <v>490</v>
      </c>
      <c r="E21" s="15"/>
      <c r="F21" s="15"/>
      <c r="G21" s="135" t="s">
        <v>56</v>
      </c>
      <c r="H21" s="15" t="s">
        <v>47</v>
      </c>
      <c r="I21" s="15" t="s">
        <v>43</v>
      </c>
      <c r="J21" t="s">
        <v>10</v>
      </c>
    </row>
    <row r="22" spans="1:9">
      <c r="A22" s="133">
        <v>45939</v>
      </c>
      <c r="B22" s="15"/>
      <c r="C22" s="15"/>
      <c r="D22" s="135">
        <f>980/2</f>
        <v>490</v>
      </c>
      <c r="E22" s="15"/>
      <c r="F22" s="15"/>
      <c r="G22" s="135" t="s">
        <v>42</v>
      </c>
      <c r="H22" s="15"/>
      <c r="I22" s="15"/>
    </row>
    <row r="23" spans="1:10">
      <c r="A23" s="133">
        <v>45939</v>
      </c>
      <c r="B23" s="15" t="s">
        <v>76</v>
      </c>
      <c r="C23" s="15" t="s">
        <v>62</v>
      </c>
      <c r="D23" s="135">
        <v>299</v>
      </c>
      <c r="E23" s="15"/>
      <c r="F23" s="15"/>
      <c r="G23" s="135" t="s">
        <v>42</v>
      </c>
      <c r="H23" s="15" t="s">
        <v>8</v>
      </c>
      <c r="I23" s="140" t="s">
        <v>43</v>
      </c>
      <c r="J23" t="s">
        <v>10</v>
      </c>
    </row>
    <row r="24" spans="1:9">
      <c r="A24" s="133">
        <v>45939</v>
      </c>
      <c r="B24" s="15" t="s">
        <v>77</v>
      </c>
      <c r="C24" s="15" t="s">
        <v>65</v>
      </c>
      <c r="D24" s="135">
        <v>128</v>
      </c>
      <c r="E24" s="15"/>
      <c r="F24" s="15"/>
      <c r="G24" s="135" t="s">
        <v>56</v>
      </c>
      <c r="H24" s="15"/>
      <c r="I24" s="139" t="s">
        <v>66</v>
      </c>
    </row>
    <row r="25" spans="1:9">
      <c r="A25" s="133">
        <v>45939</v>
      </c>
      <c r="B25" s="15" t="s">
        <v>78</v>
      </c>
      <c r="C25" s="136" t="s">
        <v>65</v>
      </c>
      <c r="D25" s="137">
        <v>128</v>
      </c>
      <c r="E25" s="15"/>
      <c r="F25" s="15"/>
      <c r="G25" s="135" t="s">
        <v>29</v>
      </c>
      <c r="H25" s="15"/>
      <c r="I25" s="139" t="s">
        <v>66</v>
      </c>
    </row>
    <row r="26" spans="1:9">
      <c r="A26" s="133">
        <v>45939</v>
      </c>
      <c r="B26" s="134" t="s">
        <v>79</v>
      </c>
      <c r="C26" s="136" t="s">
        <v>80</v>
      </c>
      <c r="D26" s="137">
        <v>98</v>
      </c>
      <c r="E26" s="15"/>
      <c r="F26" s="15"/>
      <c r="G26" s="135" t="s">
        <v>56</v>
      </c>
      <c r="H26" s="15"/>
      <c r="I26" s="139" t="s">
        <v>43</v>
      </c>
    </row>
    <row r="27" spans="1:9">
      <c r="A27" s="32">
        <v>45940</v>
      </c>
      <c r="B27" s="15" t="s">
        <v>81</v>
      </c>
      <c r="C27" s="15" t="s">
        <v>65</v>
      </c>
      <c r="D27" s="135">
        <v>128</v>
      </c>
      <c r="E27" s="15"/>
      <c r="F27" s="15"/>
      <c r="G27" s="15" t="s">
        <v>56</v>
      </c>
      <c r="H27" s="15"/>
      <c r="I27" s="139" t="s">
        <v>66</v>
      </c>
    </row>
    <row r="28" customFormat="1" spans="1:9">
      <c r="A28" s="32">
        <v>45941</v>
      </c>
      <c r="B28" s="15" t="s">
        <v>82</v>
      </c>
      <c r="C28" s="15" t="s">
        <v>65</v>
      </c>
      <c r="D28" s="135">
        <v>128</v>
      </c>
      <c r="E28" s="15"/>
      <c r="F28" s="15"/>
      <c r="G28" s="135" t="s">
        <v>42</v>
      </c>
      <c r="H28" s="15"/>
      <c r="I28" s="139" t="s">
        <v>66</v>
      </c>
    </row>
    <row r="29" spans="1:9">
      <c r="A29" s="32">
        <v>45942</v>
      </c>
      <c r="B29" s="15" t="s">
        <v>83</v>
      </c>
      <c r="C29" s="15" t="s">
        <v>84</v>
      </c>
      <c r="D29" s="15">
        <v>118</v>
      </c>
      <c r="E29" s="15"/>
      <c r="F29" s="15"/>
      <c r="G29" s="15" t="s">
        <v>56</v>
      </c>
      <c r="H29" s="15"/>
      <c r="I29" t="s">
        <v>60</v>
      </c>
    </row>
    <row r="30" spans="1:9">
      <c r="A30" s="32">
        <v>45942</v>
      </c>
      <c r="B30" s="15" t="s">
        <v>85</v>
      </c>
      <c r="C30" s="15" t="s">
        <v>65</v>
      </c>
      <c r="D30" s="15">
        <v>128</v>
      </c>
      <c r="E30" s="15"/>
      <c r="F30" s="15"/>
      <c r="G30" s="15" t="s">
        <v>42</v>
      </c>
      <c r="H30" s="15"/>
      <c r="I30" t="s">
        <v>66</v>
      </c>
    </row>
    <row r="31" spans="1:8">
      <c r="A31" s="32">
        <v>45942</v>
      </c>
      <c r="B31" s="15"/>
      <c r="C31" s="15"/>
      <c r="D31" s="15"/>
      <c r="E31" s="15"/>
      <c r="F31" s="15"/>
      <c r="G31" s="15"/>
      <c r="H31" s="15"/>
    </row>
    <row r="32" spans="1:9">
      <c r="A32" s="32">
        <v>45943</v>
      </c>
      <c r="B32" s="15" t="s">
        <v>86</v>
      </c>
      <c r="C32" s="15" t="s">
        <v>87</v>
      </c>
      <c r="D32" s="15">
        <v>580</v>
      </c>
      <c r="E32" s="15"/>
      <c r="F32" s="15"/>
      <c r="G32" s="15" t="s">
        <v>42</v>
      </c>
      <c r="H32" s="15"/>
      <c r="I32" t="s">
        <v>88</v>
      </c>
    </row>
    <row r="33" spans="1:9">
      <c r="A33" s="32">
        <v>45943</v>
      </c>
      <c r="B33" s="15" t="s">
        <v>89</v>
      </c>
      <c r="C33" s="15">
        <v>299</v>
      </c>
      <c r="D33" s="15">
        <v>299</v>
      </c>
      <c r="E33" s="15"/>
      <c r="F33" s="15"/>
      <c r="G33" s="15" t="s">
        <v>56</v>
      </c>
      <c r="H33" s="15" t="s">
        <v>8</v>
      </c>
      <c r="I33" t="s">
        <v>43</v>
      </c>
    </row>
    <row r="34" spans="1:8">
      <c r="A34" s="32">
        <v>45943</v>
      </c>
      <c r="B34" s="15"/>
      <c r="C34" s="15"/>
      <c r="D34" s="15"/>
      <c r="E34" s="15"/>
      <c r="F34" s="15"/>
      <c r="G34" s="15"/>
      <c r="H34" s="15"/>
    </row>
    <row r="35" spans="1:9">
      <c r="A35" s="32">
        <v>45944</v>
      </c>
      <c r="B35" s="15" t="s">
        <v>90</v>
      </c>
      <c r="C35" s="15"/>
      <c r="D35" s="15">
        <v>299</v>
      </c>
      <c r="E35" s="15"/>
      <c r="F35" s="15"/>
      <c r="G35" s="15" t="s">
        <v>42</v>
      </c>
      <c r="H35" s="15" t="s">
        <v>8</v>
      </c>
      <c r="I35" t="s">
        <v>43</v>
      </c>
    </row>
    <row r="36" spans="1:8">
      <c r="A36" s="32">
        <v>45944</v>
      </c>
      <c r="B36" s="15" t="s">
        <v>91</v>
      </c>
      <c r="C36" s="15" t="s">
        <v>92</v>
      </c>
      <c r="D36" s="15">
        <v>820</v>
      </c>
      <c r="E36" s="15"/>
      <c r="F36" s="15"/>
      <c r="G36" s="15" t="s">
        <v>93</v>
      </c>
      <c r="H36" s="15" t="s">
        <v>94</v>
      </c>
    </row>
    <row r="37" spans="1:8">
      <c r="A37" s="32">
        <v>45944</v>
      </c>
      <c r="B37" s="15"/>
      <c r="C37" s="15"/>
      <c r="D37" s="15"/>
      <c r="E37" s="15"/>
      <c r="F37" s="15"/>
      <c r="G37" s="15"/>
      <c r="H37" s="15"/>
    </row>
    <row r="38" spans="1:8">
      <c r="A38" s="32">
        <v>45945</v>
      </c>
      <c r="B38" s="15" t="s">
        <v>95</v>
      </c>
      <c r="C38" s="15"/>
      <c r="D38" s="15">
        <v>128</v>
      </c>
      <c r="E38" s="15"/>
      <c r="F38" s="15"/>
      <c r="G38" s="15" t="s">
        <v>42</v>
      </c>
      <c r="H38" s="15"/>
    </row>
    <row r="39" spans="1:8">
      <c r="A39" s="32">
        <v>45945</v>
      </c>
      <c r="B39" s="15" t="s">
        <v>96</v>
      </c>
      <c r="C39" s="15"/>
      <c r="D39" s="15">
        <v>99</v>
      </c>
      <c r="E39" s="15"/>
      <c r="F39" s="15"/>
      <c r="G39" s="15" t="s">
        <v>42</v>
      </c>
      <c r="H39" s="15"/>
    </row>
    <row r="40" spans="1:8">
      <c r="A40" s="32">
        <v>45945</v>
      </c>
      <c r="B40" s="15" t="s">
        <v>97</v>
      </c>
      <c r="C40" s="15"/>
      <c r="D40" s="15">
        <v>99</v>
      </c>
      <c r="E40" s="15"/>
      <c r="F40" s="15"/>
      <c r="G40" s="15" t="s">
        <v>42</v>
      </c>
      <c r="H40" s="15"/>
    </row>
    <row r="41" customFormat="1" spans="1:8">
      <c r="A41" s="32">
        <v>45945</v>
      </c>
      <c r="B41" s="15" t="s">
        <v>98</v>
      </c>
      <c r="C41" s="15"/>
      <c r="D41" s="15">
        <v>99</v>
      </c>
      <c r="E41" s="15"/>
      <c r="F41" s="15"/>
      <c r="G41" s="15" t="s">
        <v>42</v>
      </c>
      <c r="H41" s="15"/>
    </row>
    <row r="42" customFormat="1" spans="1:8">
      <c r="A42" s="32">
        <v>45945</v>
      </c>
      <c r="B42" s="15" t="s">
        <v>99</v>
      </c>
      <c r="C42" s="15"/>
      <c r="D42" s="15">
        <v>99</v>
      </c>
      <c r="E42" s="15"/>
      <c r="F42" s="15"/>
      <c r="G42" s="15" t="s">
        <v>42</v>
      </c>
      <c r="H42" s="15"/>
    </row>
    <row r="43" customFormat="1" spans="1:8">
      <c r="A43" s="32">
        <v>45945</v>
      </c>
      <c r="B43" s="15" t="s">
        <v>100</v>
      </c>
      <c r="C43" s="15"/>
      <c r="D43" s="15">
        <v>99</v>
      </c>
      <c r="E43" s="15"/>
      <c r="F43" s="15"/>
      <c r="G43" s="15" t="s">
        <v>42</v>
      </c>
      <c r="H43" s="15"/>
    </row>
    <row r="44" customFormat="1" spans="1:8">
      <c r="A44" s="32">
        <v>45945</v>
      </c>
      <c r="B44" s="15" t="s">
        <v>101</v>
      </c>
      <c r="C44" s="15"/>
      <c r="D44" s="15">
        <v>99</v>
      </c>
      <c r="E44" s="15"/>
      <c r="F44" s="15"/>
      <c r="G44" s="15" t="s">
        <v>29</v>
      </c>
      <c r="H44" s="15"/>
    </row>
    <row r="45" customFormat="1" spans="1:8">
      <c r="A45" s="32">
        <v>45945</v>
      </c>
      <c r="B45" s="15" t="s">
        <v>102</v>
      </c>
      <c r="C45" s="15"/>
      <c r="D45" s="15">
        <v>99</v>
      </c>
      <c r="E45" s="15"/>
      <c r="F45" s="15"/>
      <c r="G45" s="15" t="s">
        <v>29</v>
      </c>
      <c r="H45" s="15"/>
    </row>
    <row r="46" spans="1:8">
      <c r="A46" s="32">
        <v>45945</v>
      </c>
      <c r="B46" s="15" t="s">
        <v>103</v>
      </c>
      <c r="C46" s="15"/>
      <c r="D46" s="15">
        <v>128</v>
      </c>
      <c r="E46" s="15"/>
      <c r="F46" s="15"/>
      <c r="G46" s="15" t="s">
        <v>56</v>
      </c>
      <c r="H46" s="15"/>
    </row>
    <row r="47" spans="1:8">
      <c r="A47" s="32">
        <v>45946</v>
      </c>
      <c r="B47" s="134"/>
      <c r="C47" s="15"/>
      <c r="D47" s="15">
        <v>99</v>
      </c>
      <c r="E47" s="15"/>
      <c r="F47" s="15"/>
      <c r="G47" s="15" t="s">
        <v>29</v>
      </c>
      <c r="H47" s="15"/>
    </row>
    <row r="48" spans="1:8">
      <c r="A48" s="32">
        <v>45946</v>
      </c>
      <c r="B48" s="134"/>
      <c r="C48" s="15"/>
      <c r="D48" s="15">
        <v>99</v>
      </c>
      <c r="E48" s="15"/>
      <c r="F48" s="15"/>
      <c r="G48" s="15" t="s">
        <v>56</v>
      </c>
      <c r="H48" s="15"/>
    </row>
    <row r="49" spans="1:8">
      <c r="A49" s="32">
        <v>45947</v>
      </c>
      <c r="B49" s="15" t="s">
        <v>104</v>
      </c>
      <c r="C49" s="15"/>
      <c r="D49" s="15">
        <v>99</v>
      </c>
      <c r="E49" s="15"/>
      <c r="F49" s="15"/>
      <c r="G49" s="15" t="s">
        <v>42</v>
      </c>
      <c r="H49" s="15"/>
    </row>
    <row r="50" spans="1:7">
      <c r="A50" s="133">
        <v>45948</v>
      </c>
      <c r="B50" s="138"/>
      <c r="D50">
        <v>99</v>
      </c>
      <c r="G50" t="s">
        <v>56</v>
      </c>
    </row>
    <row r="51" spans="1:7">
      <c r="A51" s="133">
        <v>45949</v>
      </c>
      <c r="B51" s="138"/>
      <c r="D51">
        <v>99</v>
      </c>
      <c r="G51" t="s">
        <v>56</v>
      </c>
    </row>
    <row r="52" spans="1:9">
      <c r="A52" s="133">
        <v>45950</v>
      </c>
      <c r="B52" t="s">
        <v>105</v>
      </c>
      <c r="C52" t="s">
        <v>106</v>
      </c>
      <c r="D52">
        <v>580</v>
      </c>
      <c r="G52" t="s">
        <v>42</v>
      </c>
      <c r="I52" t="s">
        <v>88</v>
      </c>
    </row>
    <row r="53" spans="1:9">
      <c r="A53" s="133">
        <v>45950</v>
      </c>
      <c r="B53" t="s">
        <v>89</v>
      </c>
      <c r="D53">
        <v>3260</v>
      </c>
      <c r="G53" t="s">
        <v>56</v>
      </c>
      <c r="I53" t="s">
        <v>43</v>
      </c>
    </row>
    <row r="54" spans="1:7">
      <c r="A54" s="133">
        <v>45952</v>
      </c>
      <c r="B54" t="s">
        <v>107</v>
      </c>
      <c r="C54" t="s">
        <v>108</v>
      </c>
      <c r="D54">
        <v>1400</v>
      </c>
      <c r="G54" t="s">
        <v>29</v>
      </c>
    </row>
    <row r="55" spans="1:11">
      <c r="A55" s="133">
        <v>45952</v>
      </c>
      <c r="B55" t="s">
        <v>78</v>
      </c>
      <c r="C55" t="s">
        <v>109</v>
      </c>
      <c r="D55">
        <v>1623</v>
      </c>
      <c r="G55" t="s">
        <v>42</v>
      </c>
      <c r="K55" t="s">
        <v>110</v>
      </c>
    </row>
    <row r="56" spans="1:7">
      <c r="A56" s="133">
        <v>45952</v>
      </c>
      <c r="B56" t="s">
        <v>103</v>
      </c>
      <c r="C56" t="s">
        <v>111</v>
      </c>
      <c r="D56">
        <v>3192</v>
      </c>
      <c r="G56" t="s">
        <v>29</v>
      </c>
    </row>
    <row r="57" spans="1:7">
      <c r="A57" s="133">
        <v>45952</v>
      </c>
      <c r="B57" t="s">
        <v>81</v>
      </c>
      <c r="C57" t="s">
        <v>112</v>
      </c>
      <c r="D57">
        <v>1089</v>
      </c>
      <c r="G57" t="s">
        <v>56</v>
      </c>
    </row>
    <row r="58" spans="1:7">
      <c r="A58" s="133">
        <v>45952</v>
      </c>
      <c r="B58" t="s">
        <v>58</v>
      </c>
      <c r="C58" t="s">
        <v>113</v>
      </c>
      <c r="D58">
        <v>3104</v>
      </c>
      <c r="G58" t="s">
        <v>42</v>
      </c>
    </row>
    <row r="59" spans="1:7">
      <c r="A59" s="133">
        <v>45952</v>
      </c>
      <c r="B59" t="s">
        <v>97</v>
      </c>
      <c r="C59" t="s">
        <v>114</v>
      </c>
      <c r="D59">
        <v>980</v>
      </c>
      <c r="G59" t="s">
        <v>42</v>
      </c>
    </row>
    <row r="60" spans="1:7">
      <c r="A60" s="133">
        <v>45953</v>
      </c>
      <c r="B60" t="s">
        <v>102</v>
      </c>
      <c r="C60" t="s">
        <v>115</v>
      </c>
      <c r="D60">
        <v>2160</v>
      </c>
      <c r="G60" t="s">
        <v>29</v>
      </c>
    </row>
    <row r="61" spans="1:11">
      <c r="A61" s="133">
        <v>45953</v>
      </c>
      <c r="B61" t="s">
        <v>99</v>
      </c>
      <c r="C61" t="s">
        <v>116</v>
      </c>
      <c r="D61">
        <v>839</v>
      </c>
      <c r="G61" t="s">
        <v>42</v>
      </c>
      <c r="K61" t="s">
        <v>110</v>
      </c>
    </row>
    <row r="62" spans="1:11">
      <c r="A62" s="133">
        <v>45953</v>
      </c>
      <c r="B62" t="s">
        <v>70</v>
      </c>
      <c r="C62" t="s">
        <v>117</v>
      </c>
      <c r="D62">
        <v>2948</v>
      </c>
      <c r="G62" t="s">
        <v>42</v>
      </c>
      <c r="K62" t="s">
        <v>110</v>
      </c>
    </row>
    <row r="63" spans="1:7">
      <c r="A63" s="133">
        <v>45955</v>
      </c>
      <c r="B63" t="s">
        <v>118</v>
      </c>
      <c r="C63" t="s">
        <v>119</v>
      </c>
      <c r="D63">
        <v>1280</v>
      </c>
      <c r="G63" t="s">
        <v>42</v>
      </c>
    </row>
  </sheetData>
  <autoFilter xmlns:etc="http://www.wps.cn/officeDocument/2017/etCustomData" ref="I1:I49" etc:filterBottomFollowUsedRange="0">
    <extLst/>
  </autoFilter>
  <mergeCells count="6">
    <mergeCell ref="B9:B10"/>
    <mergeCell ref="B21:B22"/>
    <mergeCell ref="C9:C10"/>
    <mergeCell ref="C21:C22"/>
    <mergeCell ref="H21:H22"/>
    <mergeCell ref="I21:I22"/>
  </mergeCells>
  <conditionalFormatting sqref="B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AT199"/>
  <sheetViews>
    <sheetView workbookViewId="0">
      <pane ySplit="4" topLeftCell="A162" activePane="bottomLeft" state="frozen"/>
      <selection/>
      <selection pane="bottomLeft" activeCell="A1" sqref="A1:AE1"/>
    </sheetView>
  </sheetViews>
  <sheetFormatPr defaultColWidth="9" defaultRowHeight="16.8"/>
  <cols>
    <col min="1" max="1" width="3.88461538461538" style="15" customWidth="1"/>
    <col min="3" max="3" width="9.13461538461539"/>
    <col min="6" max="6" width="12.6346153846154" customWidth="1"/>
    <col min="7" max="7" width="10.1346153846154" customWidth="1"/>
    <col min="8" max="18" width="5.5" customWidth="1"/>
    <col min="19" max="19" width="6.88461538461539" hidden="1" customWidth="1"/>
    <col min="20" max="23" width="6.13461538461539" hidden="1" customWidth="1"/>
    <col min="24" max="28" width="9" hidden="1" customWidth="1"/>
    <col min="29" max="29" width="9" style="15" hidden="1" customWidth="1"/>
    <col min="30" max="30" width="7.25" hidden="1" customWidth="1"/>
    <col min="31" max="31" width="9" hidden="1" customWidth="1"/>
    <col min="32" max="39" width="5.77884615384615" customWidth="1"/>
    <col min="40" max="41" width="9.5" customWidth="1"/>
    <col min="42" max="44" width="5.77884615384615" customWidth="1"/>
    <col min="45" max="45" width="12.625"/>
  </cols>
  <sheetData>
    <row r="1" s="60" customFormat="1" ht="23" customHeight="1" spans="1:31">
      <c r="A1" s="64" t="s">
        <v>120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="61" customFormat="1" ht="19" customHeight="1" spans="1:31">
      <c r="A2" s="65" t="s">
        <v>121</v>
      </c>
      <c r="B2" s="65" t="s">
        <v>122</v>
      </c>
      <c r="C2" s="65" t="s">
        <v>123</v>
      </c>
      <c r="D2" s="66" t="s">
        <v>124</v>
      </c>
      <c r="E2" s="86" t="s">
        <v>125</v>
      </c>
      <c r="F2" s="65" t="s">
        <v>126</v>
      </c>
      <c r="G2" s="12" t="s">
        <v>35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 t="s">
        <v>127</v>
      </c>
      <c r="T2" s="65"/>
      <c r="U2" s="65"/>
      <c r="V2" s="65"/>
      <c r="W2" s="99"/>
      <c r="X2" s="100" t="s">
        <v>128</v>
      </c>
      <c r="Y2" s="100"/>
      <c r="Z2" s="100"/>
      <c r="AA2" s="100"/>
      <c r="AB2" s="100"/>
      <c r="AC2" s="65" t="s">
        <v>129</v>
      </c>
      <c r="AD2" s="106" t="s">
        <v>39</v>
      </c>
      <c r="AE2" s="65" t="s">
        <v>6</v>
      </c>
    </row>
    <row r="3" s="61" customFormat="1" ht="19" customHeight="1" spans="1:32">
      <c r="A3" s="65"/>
      <c r="B3" s="65"/>
      <c r="C3" s="65"/>
      <c r="D3" s="66"/>
      <c r="E3" s="87"/>
      <c r="F3" s="65"/>
      <c r="G3" s="12"/>
      <c r="H3" s="88" t="s">
        <v>130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98" t="s">
        <v>60</v>
      </c>
      <c r="T3" s="98" t="s">
        <v>131</v>
      </c>
      <c r="U3" s="98" t="s">
        <v>132</v>
      </c>
      <c r="V3" s="101" t="s">
        <v>133</v>
      </c>
      <c r="W3" s="99" t="s">
        <v>134</v>
      </c>
      <c r="X3" s="100" t="s">
        <v>135</v>
      </c>
      <c r="Y3" s="100" t="s">
        <v>136</v>
      </c>
      <c r="Z3" s="100" t="s">
        <v>137</v>
      </c>
      <c r="AA3" s="100" t="s">
        <v>138</v>
      </c>
      <c r="AB3" s="100" t="s">
        <v>139</v>
      </c>
      <c r="AC3" s="65"/>
      <c r="AD3" s="107"/>
      <c r="AE3" s="65"/>
      <c r="AF3" s="61" t="s">
        <v>140</v>
      </c>
    </row>
    <row r="4" spans="1:46">
      <c r="A4" s="31"/>
      <c r="B4" s="5"/>
      <c r="C4" s="5"/>
      <c r="D4" s="5"/>
      <c r="E4" s="5"/>
      <c r="F4" s="5"/>
      <c r="G4" s="5"/>
      <c r="H4" s="89" t="s">
        <v>141</v>
      </c>
      <c r="I4" s="89" t="s">
        <v>142</v>
      </c>
      <c r="J4" s="89" t="s">
        <v>143</v>
      </c>
      <c r="K4" s="89" t="s">
        <v>144</v>
      </c>
      <c r="L4" s="89" t="s">
        <v>145</v>
      </c>
      <c r="M4" s="89" t="s">
        <v>146</v>
      </c>
      <c r="N4" s="89" t="s">
        <v>147</v>
      </c>
      <c r="O4" s="89" t="s">
        <v>148</v>
      </c>
      <c r="P4" s="89" t="s">
        <v>149</v>
      </c>
      <c r="Q4" s="89" t="s">
        <v>150</v>
      </c>
      <c r="R4" s="89" t="s">
        <v>151</v>
      </c>
      <c r="S4" s="5"/>
      <c r="T4" s="5"/>
      <c r="U4" s="5"/>
      <c r="V4" s="5"/>
      <c r="W4" s="5"/>
      <c r="X4" s="102"/>
      <c r="Y4" s="5"/>
      <c r="Z4" s="5"/>
      <c r="AA4" s="5"/>
      <c r="AB4" s="5"/>
      <c r="AC4" s="31"/>
      <c r="AD4" s="5"/>
      <c r="AE4" s="5"/>
      <c r="AF4" t="s">
        <v>141</v>
      </c>
      <c r="AG4" t="s">
        <v>142</v>
      </c>
      <c r="AH4" t="s">
        <v>152</v>
      </c>
      <c r="AI4" t="s">
        <v>153</v>
      </c>
      <c r="AJ4" t="s">
        <v>146</v>
      </c>
      <c r="AK4" t="s">
        <v>154</v>
      </c>
      <c r="AL4" t="s">
        <v>145</v>
      </c>
      <c r="AM4" t="s">
        <v>150</v>
      </c>
      <c r="AN4" t="s">
        <v>155</v>
      </c>
      <c r="AO4" t="s">
        <v>149</v>
      </c>
      <c r="AP4" t="s">
        <v>148</v>
      </c>
      <c r="AQ4" t="s">
        <v>133</v>
      </c>
      <c r="AR4" t="s">
        <v>156</v>
      </c>
      <c r="AS4" t="s">
        <v>157</v>
      </c>
      <c r="AT4" t="s">
        <v>158</v>
      </c>
    </row>
    <row r="5" spans="1:43">
      <c r="A5" s="67">
        <v>1</v>
      </c>
      <c r="B5" s="68">
        <v>45667</v>
      </c>
      <c r="C5" s="68">
        <v>45948</v>
      </c>
      <c r="D5" s="67">
        <f>199</f>
        <v>199</v>
      </c>
      <c r="E5" s="67">
        <f>1980+880</f>
        <v>2860</v>
      </c>
      <c r="F5" s="90">
        <v>17537181300</v>
      </c>
      <c r="G5" s="91" t="s">
        <v>58</v>
      </c>
      <c r="H5" s="67"/>
      <c r="I5" s="67">
        <v>40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>
        <v>1</v>
      </c>
      <c r="W5" s="67">
        <f>199+880</f>
        <v>1079</v>
      </c>
      <c r="X5" s="68">
        <v>45758</v>
      </c>
      <c r="Y5" s="68">
        <v>45764</v>
      </c>
      <c r="Z5" s="68">
        <v>45769</v>
      </c>
      <c r="AA5" s="68"/>
      <c r="AB5" s="67"/>
      <c r="AC5" s="67">
        <v>3</v>
      </c>
      <c r="AD5" s="85" t="s">
        <v>159</v>
      </c>
      <c r="AE5" s="5"/>
      <c r="AK5">
        <v>13</v>
      </c>
      <c r="AQ5">
        <v>3</v>
      </c>
    </row>
    <row r="6" customFormat="1" ht="31" spans="1:33">
      <c r="A6" s="67">
        <v>2</v>
      </c>
      <c r="B6" s="68">
        <v>45668</v>
      </c>
      <c r="C6" s="68">
        <v>45828</v>
      </c>
      <c r="D6" s="67">
        <v>199</v>
      </c>
      <c r="E6" s="67"/>
      <c r="F6" s="67">
        <v>13781185309</v>
      </c>
      <c r="G6" s="92" t="s">
        <v>118</v>
      </c>
      <c r="H6" s="67"/>
      <c r="I6" s="67">
        <v>5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>
        <v>199</v>
      </c>
      <c r="Y6" s="68"/>
      <c r="Z6" s="67"/>
      <c r="AA6" s="67"/>
      <c r="AB6" s="67"/>
      <c r="AC6" s="67">
        <v>0</v>
      </c>
      <c r="AD6" s="85" t="s">
        <v>159</v>
      </c>
      <c r="AE6" s="108" t="s">
        <v>160</v>
      </c>
      <c r="AF6"/>
      <c r="AG6">
        <v>20</v>
      </c>
    </row>
    <row r="7" s="62" customFormat="1" ht="31" spans="1:33">
      <c r="A7" s="69">
        <v>3</v>
      </c>
      <c r="B7" s="70">
        <v>45668</v>
      </c>
      <c r="C7" s="70">
        <v>45738</v>
      </c>
      <c r="D7" s="69">
        <v>199</v>
      </c>
      <c r="E7" s="69"/>
      <c r="F7" s="69">
        <v>18036135587</v>
      </c>
      <c r="G7" s="93" t="s">
        <v>161</v>
      </c>
      <c r="H7" s="69">
        <v>1</v>
      </c>
      <c r="I7" s="69">
        <v>5</v>
      </c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>
        <v>199</v>
      </c>
      <c r="X7" s="70">
        <v>45776</v>
      </c>
      <c r="Y7" s="70"/>
      <c r="Z7" s="69"/>
      <c r="AA7" s="69"/>
      <c r="AB7" s="69"/>
      <c r="AC7" s="69">
        <v>1</v>
      </c>
      <c r="AD7" s="104" t="s">
        <v>159</v>
      </c>
      <c r="AE7" s="93" t="s">
        <v>162</v>
      </c>
      <c r="AG7" s="62">
        <v>0</v>
      </c>
    </row>
    <row r="8" ht="46" spans="1:33">
      <c r="A8" s="67">
        <v>4</v>
      </c>
      <c r="B8" s="68">
        <v>45670</v>
      </c>
      <c r="C8" s="71" t="s">
        <v>163</v>
      </c>
      <c r="D8" s="67">
        <f>199</f>
        <v>199</v>
      </c>
      <c r="E8" s="67">
        <v>548</v>
      </c>
      <c r="F8" s="67">
        <v>18236928323</v>
      </c>
      <c r="G8" s="92" t="s">
        <v>164</v>
      </c>
      <c r="H8" s="67">
        <v>5</v>
      </c>
      <c r="I8" s="67">
        <f>4+5</f>
        <v>9</v>
      </c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>
        <f>199+548</f>
        <v>747</v>
      </c>
      <c r="X8" s="68">
        <v>45776</v>
      </c>
      <c r="Y8" s="68"/>
      <c r="Z8" s="67"/>
      <c r="AA8" s="67"/>
      <c r="AB8" s="67"/>
      <c r="AC8" s="67">
        <v>1</v>
      </c>
      <c r="AD8" s="67" t="s">
        <v>165</v>
      </c>
      <c r="AE8" s="108" t="s">
        <v>166</v>
      </c>
      <c r="AG8">
        <v>1</v>
      </c>
    </row>
    <row r="9" s="62" customFormat="1" ht="31" spans="1:33">
      <c r="A9" s="69">
        <v>5</v>
      </c>
      <c r="B9" s="70">
        <v>45673</v>
      </c>
      <c r="C9" s="69" t="s">
        <v>167</v>
      </c>
      <c r="D9" s="69">
        <v>199</v>
      </c>
      <c r="E9" s="69"/>
      <c r="F9" s="69">
        <v>13137397927</v>
      </c>
      <c r="G9" s="93" t="s">
        <v>168</v>
      </c>
      <c r="H9" s="69"/>
      <c r="I9" s="69">
        <v>4</v>
      </c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>
        <v>199</v>
      </c>
      <c r="X9" s="70">
        <v>45764</v>
      </c>
      <c r="Y9" s="69"/>
      <c r="Z9" s="69"/>
      <c r="AA9" s="69"/>
      <c r="AB9" s="69"/>
      <c r="AC9" s="69">
        <v>1</v>
      </c>
      <c r="AD9" s="69"/>
      <c r="AE9" s="93" t="s">
        <v>162</v>
      </c>
      <c r="AF9" s="62">
        <v>0</v>
      </c>
      <c r="AG9" s="62">
        <v>0</v>
      </c>
    </row>
    <row r="10" spans="1:45">
      <c r="A10" s="67">
        <v>6</v>
      </c>
      <c r="B10" s="68">
        <v>45675</v>
      </c>
      <c r="C10" s="72">
        <v>46012</v>
      </c>
      <c r="D10" s="67">
        <v>1760</v>
      </c>
      <c r="E10" s="67"/>
      <c r="F10" s="67">
        <v>13663004090</v>
      </c>
      <c r="G10" s="91" t="s">
        <v>169</v>
      </c>
      <c r="H10" s="67">
        <v>10</v>
      </c>
      <c r="I10" s="67">
        <v>10</v>
      </c>
      <c r="J10" s="67">
        <v>10</v>
      </c>
      <c r="K10" s="67"/>
      <c r="L10" s="67"/>
      <c r="M10" s="67">
        <v>1</v>
      </c>
      <c r="N10" s="67"/>
      <c r="O10" s="67"/>
      <c r="P10" s="67"/>
      <c r="Q10" s="67"/>
      <c r="R10" s="67">
        <v>1</v>
      </c>
      <c r="S10" s="67"/>
      <c r="T10" s="67"/>
      <c r="U10" s="67"/>
      <c r="V10" s="67"/>
      <c r="W10" s="67">
        <v>1760</v>
      </c>
      <c r="X10" s="68"/>
      <c r="Y10" s="68"/>
      <c r="Z10" s="68"/>
      <c r="AA10" s="68"/>
      <c r="AB10" s="67"/>
      <c r="AC10" s="67">
        <v>0</v>
      </c>
      <c r="AD10" s="67" t="s">
        <v>8</v>
      </c>
      <c r="AE10" s="108"/>
      <c r="AG10">
        <v>2</v>
      </c>
      <c r="AK10">
        <v>7</v>
      </c>
      <c r="AO10">
        <v>10</v>
      </c>
      <c r="AS10">
        <v>8</v>
      </c>
    </row>
    <row r="11" spans="1:43">
      <c r="A11" s="67">
        <v>7</v>
      </c>
      <c r="B11" s="68">
        <v>45675</v>
      </c>
      <c r="C11" s="73">
        <v>45773</v>
      </c>
      <c r="D11" s="67">
        <v>800</v>
      </c>
      <c r="E11" s="67">
        <v>980</v>
      </c>
      <c r="F11" s="67">
        <v>13733852271</v>
      </c>
      <c r="G11" s="92" t="s">
        <v>102</v>
      </c>
      <c r="H11" s="67">
        <v>10</v>
      </c>
      <c r="I11" s="67">
        <v>11</v>
      </c>
      <c r="J11" s="67"/>
      <c r="K11" s="67">
        <v>2</v>
      </c>
      <c r="L11" s="67"/>
      <c r="M11" s="67">
        <v>1</v>
      </c>
      <c r="N11" s="67">
        <v>10</v>
      </c>
      <c r="O11" s="67"/>
      <c r="P11" s="67"/>
      <c r="Q11" s="67"/>
      <c r="R11" s="67">
        <v>1</v>
      </c>
      <c r="S11" s="67"/>
      <c r="T11" s="67"/>
      <c r="U11" s="67"/>
      <c r="V11" s="67"/>
      <c r="W11" s="67">
        <v>800</v>
      </c>
      <c r="X11" s="68">
        <v>45760</v>
      </c>
      <c r="Y11" s="68">
        <v>45772</v>
      </c>
      <c r="Z11" s="68"/>
      <c r="AA11" s="68"/>
      <c r="AB11" s="67"/>
      <c r="AC11" s="67">
        <v>2</v>
      </c>
      <c r="AD11" s="67" t="s">
        <v>170</v>
      </c>
      <c r="AE11" s="108"/>
      <c r="AF11">
        <v>10</v>
      </c>
      <c r="AG11">
        <v>14</v>
      </c>
      <c r="AH11">
        <v>0</v>
      </c>
      <c r="AQ11">
        <v>20</v>
      </c>
    </row>
    <row r="12" spans="1:43">
      <c r="A12" s="67">
        <v>8</v>
      </c>
      <c r="B12" s="68">
        <v>45676</v>
      </c>
      <c r="C12" s="72">
        <v>45677</v>
      </c>
      <c r="D12" s="67">
        <v>1760</v>
      </c>
      <c r="E12" s="67"/>
      <c r="F12" s="67">
        <v>15936231807</v>
      </c>
      <c r="G12" s="92" t="s">
        <v>171</v>
      </c>
      <c r="H12" s="67">
        <v>10</v>
      </c>
      <c r="I12" s="67">
        <v>10</v>
      </c>
      <c r="J12" s="67"/>
      <c r="K12" s="67">
        <v>10</v>
      </c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>
        <v>1</v>
      </c>
      <c r="W12" s="67">
        <v>1760</v>
      </c>
      <c r="X12" s="68">
        <v>45760</v>
      </c>
      <c r="Y12" s="68">
        <v>45766</v>
      </c>
      <c r="Z12" s="68">
        <v>45753</v>
      </c>
      <c r="AA12" s="67"/>
      <c r="AB12" s="67"/>
      <c r="AC12" s="67">
        <v>3</v>
      </c>
      <c r="AD12" s="67"/>
      <c r="AE12" s="108"/>
      <c r="AF12">
        <v>7</v>
      </c>
      <c r="AG12">
        <v>3</v>
      </c>
      <c r="AK12">
        <v>6</v>
      </c>
      <c r="AQ12">
        <v>1</v>
      </c>
    </row>
    <row r="13" s="62" customFormat="1" spans="1:33">
      <c r="A13" s="69">
        <v>9</v>
      </c>
      <c r="B13" s="69" t="s">
        <v>172</v>
      </c>
      <c r="C13" s="70">
        <v>45942</v>
      </c>
      <c r="D13" s="69">
        <v>980</v>
      </c>
      <c r="E13" s="69"/>
      <c r="F13" s="69">
        <v>18736059805</v>
      </c>
      <c r="G13" s="93" t="s">
        <v>173</v>
      </c>
      <c r="H13" s="69">
        <v>11</v>
      </c>
      <c r="I13" s="69">
        <v>10</v>
      </c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>
        <v>1</v>
      </c>
      <c r="W13" s="69">
        <v>980</v>
      </c>
      <c r="X13" s="70">
        <v>45748</v>
      </c>
      <c r="Y13" s="70">
        <v>45765</v>
      </c>
      <c r="Z13" s="69"/>
      <c r="AA13" s="69"/>
      <c r="AB13" s="69"/>
      <c r="AC13" s="69">
        <v>2</v>
      </c>
      <c r="AD13" s="69"/>
      <c r="AE13" s="93"/>
      <c r="AF13" s="62">
        <v>0</v>
      </c>
      <c r="AG13" s="62">
        <v>0</v>
      </c>
    </row>
    <row r="14" spans="1:43">
      <c r="A14" s="67">
        <v>10</v>
      </c>
      <c r="B14" s="68">
        <v>45710</v>
      </c>
      <c r="C14" s="72">
        <v>45754</v>
      </c>
      <c r="D14" s="67">
        <f>980</f>
        <v>980</v>
      </c>
      <c r="E14" s="67">
        <v>2445</v>
      </c>
      <c r="F14" s="67">
        <v>15617712992</v>
      </c>
      <c r="G14" s="92" t="s">
        <v>174</v>
      </c>
      <c r="H14" s="67">
        <v>10</v>
      </c>
      <c r="I14" s="67">
        <v>10</v>
      </c>
      <c r="J14" s="67"/>
      <c r="K14" s="67"/>
      <c r="L14" s="67"/>
      <c r="M14" s="67"/>
      <c r="N14" s="67">
        <v>10</v>
      </c>
      <c r="O14" s="67"/>
      <c r="P14" s="67">
        <v>10</v>
      </c>
      <c r="Q14" s="67"/>
      <c r="R14" s="67"/>
      <c r="S14" s="67"/>
      <c r="T14" s="67"/>
      <c r="U14" s="67"/>
      <c r="V14" s="67">
        <v>1</v>
      </c>
      <c r="W14" s="67">
        <v>880</v>
      </c>
      <c r="X14" s="68">
        <v>45760</v>
      </c>
      <c r="Y14" s="68">
        <v>45773</v>
      </c>
      <c r="Z14" s="67"/>
      <c r="AA14" s="67"/>
      <c r="AB14" s="67"/>
      <c r="AC14" s="67">
        <v>2</v>
      </c>
      <c r="AD14" s="67" t="s">
        <v>170</v>
      </c>
      <c r="AE14" s="108"/>
      <c r="AF14">
        <v>9</v>
      </c>
      <c r="AG14">
        <v>9</v>
      </c>
      <c r="AN14">
        <v>2</v>
      </c>
      <c r="AO14">
        <v>1</v>
      </c>
      <c r="AQ14">
        <v>18</v>
      </c>
    </row>
    <row r="15" spans="1:43">
      <c r="A15" s="67">
        <v>11</v>
      </c>
      <c r="B15" s="68">
        <v>45711</v>
      </c>
      <c r="C15" s="72">
        <v>45931</v>
      </c>
      <c r="D15" s="67">
        <v>1980</v>
      </c>
      <c r="E15" s="67">
        <v>2380</v>
      </c>
      <c r="F15" s="67">
        <v>19937626908</v>
      </c>
      <c r="G15" s="92" t="s">
        <v>54</v>
      </c>
      <c r="H15" s="67">
        <v>10</v>
      </c>
      <c r="I15" s="67">
        <v>10</v>
      </c>
      <c r="J15" s="67"/>
      <c r="K15" s="67"/>
      <c r="L15" s="67"/>
      <c r="M15" s="67"/>
      <c r="N15" s="67">
        <v>10</v>
      </c>
      <c r="O15" s="67">
        <v>10</v>
      </c>
      <c r="P15" s="67"/>
      <c r="Q15" s="67"/>
      <c r="R15" s="67"/>
      <c r="S15" s="67"/>
      <c r="T15" s="67"/>
      <c r="U15" s="67"/>
      <c r="V15" s="67">
        <v>10</v>
      </c>
      <c r="W15" s="67">
        <v>1980</v>
      </c>
      <c r="X15" s="68">
        <v>45774</v>
      </c>
      <c r="Y15" s="68">
        <v>45763</v>
      </c>
      <c r="Z15" s="67"/>
      <c r="AA15" s="67"/>
      <c r="AB15" s="67"/>
      <c r="AC15" s="67">
        <v>2</v>
      </c>
      <c r="AD15" s="67">
        <v>29.9</v>
      </c>
      <c r="AE15" s="108"/>
      <c r="AF15">
        <v>2</v>
      </c>
      <c r="AG15">
        <v>7</v>
      </c>
      <c r="AN15">
        <v>5</v>
      </c>
      <c r="AP15">
        <v>5</v>
      </c>
      <c r="AQ15">
        <v>1</v>
      </c>
    </row>
    <row r="16" s="62" customFormat="1" ht="31" spans="1:43">
      <c r="A16" s="69">
        <v>12</v>
      </c>
      <c r="B16" s="70">
        <v>45711</v>
      </c>
      <c r="C16" s="70">
        <v>45743</v>
      </c>
      <c r="D16" s="69">
        <v>299</v>
      </c>
      <c r="E16" s="69"/>
      <c r="F16" s="69">
        <v>13014667292</v>
      </c>
      <c r="G16" s="93" t="s">
        <v>175</v>
      </c>
      <c r="H16" s="69"/>
      <c r="I16" s="69">
        <v>4</v>
      </c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>
        <v>2</v>
      </c>
      <c r="W16" s="69">
        <v>299</v>
      </c>
      <c r="X16" s="70">
        <v>45759</v>
      </c>
      <c r="Y16" s="70">
        <v>45767</v>
      </c>
      <c r="Z16" s="69"/>
      <c r="AA16" s="69"/>
      <c r="AB16" s="69"/>
      <c r="AC16" s="69">
        <v>2</v>
      </c>
      <c r="AD16" s="69"/>
      <c r="AE16" s="93" t="s">
        <v>176</v>
      </c>
      <c r="AG16" s="62">
        <v>0</v>
      </c>
      <c r="AQ16" s="62">
        <v>0</v>
      </c>
    </row>
    <row r="17" spans="1:33">
      <c r="A17" s="67">
        <v>13</v>
      </c>
      <c r="B17" s="68">
        <v>45711</v>
      </c>
      <c r="C17" s="73">
        <v>45780</v>
      </c>
      <c r="D17" s="67">
        <f>299+490</f>
        <v>789</v>
      </c>
      <c r="E17" s="67">
        <v>698</v>
      </c>
      <c r="F17" s="67">
        <v>13323713356</v>
      </c>
      <c r="G17" s="92" t="s">
        <v>177</v>
      </c>
      <c r="H17" s="94">
        <v>10</v>
      </c>
      <c r="I17" s="67">
        <f>4+10</f>
        <v>14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>
        <v>1</v>
      </c>
      <c r="W17" s="67">
        <v>789</v>
      </c>
      <c r="X17" s="68">
        <v>45759</v>
      </c>
      <c r="Y17" s="68">
        <v>45773</v>
      </c>
      <c r="Z17" s="67"/>
      <c r="AA17" s="67"/>
      <c r="AB17" s="67"/>
      <c r="AC17" s="67">
        <v>2</v>
      </c>
      <c r="AD17" s="67"/>
      <c r="AE17" s="108"/>
      <c r="AF17">
        <v>6</v>
      </c>
      <c r="AG17">
        <v>6</v>
      </c>
    </row>
    <row r="18" spans="1:45">
      <c r="A18" s="67">
        <v>14</v>
      </c>
      <c r="B18" s="68">
        <v>45711</v>
      </c>
      <c r="C18" s="72">
        <v>45970</v>
      </c>
      <c r="D18" s="67">
        <f>299+698</f>
        <v>997</v>
      </c>
      <c r="E18" s="67"/>
      <c r="F18" s="67">
        <v>13838361914</v>
      </c>
      <c r="G18" s="92" t="s">
        <v>101</v>
      </c>
      <c r="H18" s="67"/>
      <c r="I18" s="67">
        <v>4</v>
      </c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>
        <v>10</v>
      </c>
      <c r="W18" s="67">
        <f t="shared" ref="W18:W20" si="0">D18</f>
        <v>997</v>
      </c>
      <c r="X18" s="68">
        <v>45750</v>
      </c>
      <c r="Y18" s="67"/>
      <c r="Z18" s="67"/>
      <c r="AA18" s="67"/>
      <c r="AB18" s="67"/>
      <c r="AC18" s="67">
        <v>1</v>
      </c>
      <c r="AD18" s="67"/>
      <c r="AE18" s="108"/>
      <c r="AG18">
        <v>7</v>
      </c>
      <c r="AH18">
        <v>9</v>
      </c>
      <c r="AI18">
        <v>1</v>
      </c>
      <c r="AO18">
        <v>6</v>
      </c>
      <c r="AQ18">
        <v>4</v>
      </c>
      <c r="AS18">
        <v>6</v>
      </c>
    </row>
    <row r="19" spans="1:43">
      <c r="A19" s="67">
        <v>15</v>
      </c>
      <c r="B19" s="68">
        <v>45712</v>
      </c>
      <c r="C19" s="72">
        <v>45765</v>
      </c>
      <c r="D19" s="67">
        <v>480</v>
      </c>
      <c r="E19" s="67"/>
      <c r="F19" s="67">
        <v>13623820264</v>
      </c>
      <c r="G19" s="92" t="s">
        <v>178</v>
      </c>
      <c r="H19" s="67"/>
      <c r="I19" s="67"/>
      <c r="J19" s="67">
        <v>10</v>
      </c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>
        <v>1</v>
      </c>
      <c r="W19" s="67">
        <f t="shared" si="0"/>
        <v>480</v>
      </c>
      <c r="X19" s="68">
        <v>45775</v>
      </c>
      <c r="Y19" s="68"/>
      <c r="Z19" s="67"/>
      <c r="AA19" s="67"/>
      <c r="AB19" s="67"/>
      <c r="AC19" s="67">
        <v>1</v>
      </c>
      <c r="AD19" s="67" t="s">
        <v>179</v>
      </c>
      <c r="AE19" s="108"/>
      <c r="AH19">
        <v>2</v>
      </c>
      <c r="AQ19">
        <v>1</v>
      </c>
    </row>
    <row r="20" spans="1:43">
      <c r="A20" s="67">
        <v>16</v>
      </c>
      <c r="B20" s="68">
        <v>45713</v>
      </c>
      <c r="C20" s="71" t="s">
        <v>167</v>
      </c>
      <c r="D20" s="67">
        <f>299+500</f>
        <v>799</v>
      </c>
      <c r="E20" s="67"/>
      <c r="F20" s="67">
        <v>13608692678</v>
      </c>
      <c r="G20" s="92" t="s">
        <v>180</v>
      </c>
      <c r="H20" s="67">
        <v>1</v>
      </c>
      <c r="I20" s="67">
        <v>4</v>
      </c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85">
        <v>9</v>
      </c>
      <c r="W20" s="67">
        <f t="shared" si="0"/>
        <v>799</v>
      </c>
      <c r="X20" s="68">
        <v>45750</v>
      </c>
      <c r="Y20" s="68">
        <v>45761</v>
      </c>
      <c r="Z20" s="68"/>
      <c r="AA20" s="68"/>
      <c r="AB20" s="67"/>
      <c r="AC20" s="67">
        <v>2</v>
      </c>
      <c r="AD20" s="67" t="s">
        <v>181</v>
      </c>
      <c r="AE20" s="108"/>
      <c r="AQ20">
        <v>0</v>
      </c>
    </row>
    <row r="21" s="62" customFormat="1" ht="31" spans="1:31">
      <c r="A21" s="69">
        <v>17</v>
      </c>
      <c r="B21" s="70">
        <v>45714</v>
      </c>
      <c r="C21" s="70">
        <v>45721</v>
      </c>
      <c r="D21" s="69">
        <v>299</v>
      </c>
      <c r="E21" s="69"/>
      <c r="F21" s="69">
        <v>15672860305</v>
      </c>
      <c r="G21" s="93" t="s">
        <v>182</v>
      </c>
      <c r="H21" s="69">
        <v>1</v>
      </c>
      <c r="I21" s="69">
        <v>4</v>
      </c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103">
        <v>1</v>
      </c>
      <c r="W21" s="69">
        <v>299</v>
      </c>
      <c r="X21" s="70"/>
      <c r="Y21" s="69"/>
      <c r="Z21" s="69"/>
      <c r="AA21" s="69"/>
      <c r="AB21" s="69"/>
      <c r="AC21" s="69">
        <v>0</v>
      </c>
      <c r="AD21" s="69" t="s">
        <v>9</v>
      </c>
      <c r="AE21" s="93" t="s">
        <v>183</v>
      </c>
    </row>
    <row r="22" s="62" customFormat="1" ht="31" spans="1:31">
      <c r="A22" s="69">
        <v>18</v>
      </c>
      <c r="B22" s="70">
        <v>45717</v>
      </c>
      <c r="C22" s="70">
        <v>45787</v>
      </c>
      <c r="D22" s="69">
        <v>299</v>
      </c>
      <c r="E22" s="69"/>
      <c r="F22" s="69">
        <v>13849660920</v>
      </c>
      <c r="G22" s="93" t="s">
        <v>184</v>
      </c>
      <c r="H22" s="69">
        <v>4</v>
      </c>
      <c r="I22" s="69">
        <v>4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104"/>
      <c r="W22" s="69">
        <v>299</v>
      </c>
      <c r="X22" s="70"/>
      <c r="Y22" s="69"/>
      <c r="Z22" s="69"/>
      <c r="AA22" s="69"/>
      <c r="AB22" s="69"/>
      <c r="AC22" s="69">
        <v>0</v>
      </c>
      <c r="AD22" s="69">
        <v>29.9</v>
      </c>
      <c r="AE22" s="93" t="s">
        <v>185</v>
      </c>
    </row>
    <row r="23" s="62" customFormat="1" spans="1:31">
      <c r="A23" s="69">
        <v>19</v>
      </c>
      <c r="B23" s="70">
        <v>45717</v>
      </c>
      <c r="C23" s="70">
        <v>45875</v>
      </c>
      <c r="D23" s="69">
        <v>1980</v>
      </c>
      <c r="E23" s="69"/>
      <c r="F23" s="69">
        <v>15890119675</v>
      </c>
      <c r="G23" s="93" t="s">
        <v>186</v>
      </c>
      <c r="H23" s="69"/>
      <c r="I23" s="69">
        <v>40</v>
      </c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104"/>
      <c r="W23" s="69">
        <v>1980</v>
      </c>
      <c r="X23" s="70">
        <v>45752</v>
      </c>
      <c r="Y23" s="70">
        <v>45756</v>
      </c>
      <c r="Z23" s="70">
        <v>45759</v>
      </c>
      <c r="AA23" s="70">
        <v>45769</v>
      </c>
      <c r="AB23" s="70">
        <v>45777</v>
      </c>
      <c r="AC23" s="69">
        <v>5</v>
      </c>
      <c r="AD23" s="69" t="s">
        <v>8</v>
      </c>
      <c r="AE23" s="93"/>
    </row>
    <row r="24" spans="1:38">
      <c r="A24" s="67">
        <v>20</v>
      </c>
      <c r="B24" s="68">
        <v>45718</v>
      </c>
      <c r="C24" s="72">
        <v>45734</v>
      </c>
      <c r="D24" s="67">
        <v>980</v>
      </c>
      <c r="E24" s="67">
        <v>1980</v>
      </c>
      <c r="F24" s="67">
        <v>13213134393</v>
      </c>
      <c r="G24" s="92" t="s">
        <v>187</v>
      </c>
      <c r="H24" s="67"/>
      <c r="I24" s="67">
        <v>20</v>
      </c>
      <c r="J24" s="67"/>
      <c r="K24" s="67"/>
      <c r="L24" s="67">
        <v>10</v>
      </c>
      <c r="M24" s="67"/>
      <c r="N24" s="67"/>
      <c r="O24" s="67"/>
      <c r="P24" s="67"/>
      <c r="Q24" s="67"/>
      <c r="R24" s="67">
        <v>10</v>
      </c>
      <c r="S24" s="67"/>
      <c r="T24" s="67"/>
      <c r="U24" s="67"/>
      <c r="V24" s="67"/>
      <c r="W24" s="67">
        <v>980</v>
      </c>
      <c r="X24" s="68">
        <v>45753</v>
      </c>
      <c r="Y24" s="68">
        <v>45760</v>
      </c>
      <c r="Z24" s="68">
        <v>45766</v>
      </c>
      <c r="AA24" s="68"/>
      <c r="AB24" s="67"/>
      <c r="AC24" s="67">
        <v>3</v>
      </c>
      <c r="AD24" s="67" t="s">
        <v>57</v>
      </c>
      <c r="AE24" s="108"/>
      <c r="AG24">
        <v>12</v>
      </c>
      <c r="AI24">
        <v>4</v>
      </c>
      <c r="AL24">
        <v>3</v>
      </c>
    </row>
    <row r="25" s="62" customFormat="1" spans="1:32">
      <c r="A25" s="69">
        <v>21</v>
      </c>
      <c r="B25" s="70">
        <v>45720</v>
      </c>
      <c r="C25" s="70">
        <v>45727</v>
      </c>
      <c r="D25" s="69">
        <v>434</v>
      </c>
      <c r="E25" s="69"/>
      <c r="F25" s="69">
        <v>18638638126</v>
      </c>
      <c r="G25" s="93" t="s">
        <v>188</v>
      </c>
      <c r="H25" s="69">
        <v>5</v>
      </c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>
        <v>5</v>
      </c>
      <c r="W25" s="69">
        <v>343</v>
      </c>
      <c r="X25" s="70">
        <v>45751</v>
      </c>
      <c r="Y25" s="70"/>
      <c r="Z25" s="69"/>
      <c r="AA25" s="69"/>
      <c r="AB25" s="69"/>
      <c r="AC25" s="69">
        <v>1</v>
      </c>
      <c r="AD25" s="69" t="s">
        <v>9</v>
      </c>
      <c r="AE25" s="93" t="s">
        <v>189</v>
      </c>
      <c r="AF25" s="62">
        <v>0</v>
      </c>
    </row>
    <row r="26" s="62" customFormat="1" spans="1:33">
      <c r="A26" s="69">
        <v>22</v>
      </c>
      <c r="B26" s="70">
        <v>45720</v>
      </c>
      <c r="C26" s="70">
        <v>45851</v>
      </c>
      <c r="D26" s="69">
        <v>980</v>
      </c>
      <c r="E26" s="69"/>
      <c r="F26" s="69">
        <v>18135719502</v>
      </c>
      <c r="G26" s="93" t="s">
        <v>190</v>
      </c>
      <c r="H26" s="69">
        <v>10</v>
      </c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>
        <v>10</v>
      </c>
      <c r="W26" s="69">
        <v>980</v>
      </c>
      <c r="X26" s="70">
        <v>45749</v>
      </c>
      <c r="Y26" s="70">
        <v>45761</v>
      </c>
      <c r="Z26" s="70">
        <v>45767</v>
      </c>
      <c r="AA26" s="69"/>
      <c r="AB26" s="69"/>
      <c r="AC26" s="69">
        <v>3</v>
      </c>
      <c r="AD26" s="69" t="s">
        <v>8</v>
      </c>
      <c r="AE26" s="93"/>
      <c r="AF26" s="62">
        <v>0</v>
      </c>
      <c r="AG26" s="62">
        <v>0</v>
      </c>
    </row>
    <row r="27" spans="1:43">
      <c r="A27" s="67">
        <v>24</v>
      </c>
      <c r="B27" s="68">
        <v>45722</v>
      </c>
      <c r="C27" s="68">
        <v>45923</v>
      </c>
      <c r="D27" s="67">
        <v>980</v>
      </c>
      <c r="E27" s="67"/>
      <c r="F27" s="67">
        <v>15903651201</v>
      </c>
      <c r="G27" s="92" t="s">
        <v>191</v>
      </c>
      <c r="H27" s="67"/>
      <c r="I27" s="67">
        <v>10</v>
      </c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>
        <v>10</v>
      </c>
      <c r="W27" s="67">
        <v>980</v>
      </c>
      <c r="X27" s="68">
        <v>45756</v>
      </c>
      <c r="Y27" s="68">
        <v>45769</v>
      </c>
      <c r="Z27" s="68">
        <v>45775</v>
      </c>
      <c r="AA27" s="67"/>
      <c r="AB27" s="67"/>
      <c r="AC27" s="67">
        <v>3</v>
      </c>
      <c r="AD27" s="67">
        <v>29.9</v>
      </c>
      <c r="AE27" s="67"/>
      <c r="AG27">
        <v>1</v>
      </c>
      <c r="AQ27">
        <v>2</v>
      </c>
    </row>
    <row r="28" spans="1:43">
      <c r="A28" s="67">
        <v>25</v>
      </c>
      <c r="B28" s="68">
        <v>45723</v>
      </c>
      <c r="C28" s="68">
        <v>45986</v>
      </c>
      <c r="D28" s="67">
        <v>980</v>
      </c>
      <c r="E28" s="67">
        <v>1346.6</v>
      </c>
      <c r="F28" s="67">
        <v>13523002302</v>
      </c>
      <c r="G28" s="92" t="s">
        <v>97</v>
      </c>
      <c r="H28" s="67">
        <v>10</v>
      </c>
      <c r="I28" s="67">
        <v>10</v>
      </c>
      <c r="J28" s="67"/>
      <c r="K28" s="67"/>
      <c r="L28" s="67"/>
      <c r="M28" s="67"/>
      <c r="N28" s="67"/>
      <c r="O28" s="67"/>
      <c r="P28" s="67"/>
      <c r="Q28" s="67"/>
      <c r="R28" s="67">
        <v>1</v>
      </c>
      <c r="S28" s="67"/>
      <c r="T28" s="67"/>
      <c r="U28" s="67"/>
      <c r="V28" s="67"/>
      <c r="W28" s="67">
        <v>980</v>
      </c>
      <c r="X28" s="68"/>
      <c r="Y28" s="68"/>
      <c r="Z28" s="68"/>
      <c r="AA28" s="67"/>
      <c r="AB28" s="67"/>
      <c r="AC28" s="67">
        <v>0</v>
      </c>
      <c r="AD28" s="67" t="s">
        <v>8</v>
      </c>
      <c r="AE28" s="67"/>
      <c r="AF28">
        <v>10</v>
      </c>
      <c r="AG28">
        <v>11</v>
      </c>
      <c r="AQ28">
        <v>14</v>
      </c>
    </row>
    <row r="29" spans="1:41">
      <c r="A29" s="67">
        <v>26</v>
      </c>
      <c r="B29" s="68">
        <v>45724</v>
      </c>
      <c r="C29" s="68">
        <v>46012</v>
      </c>
      <c r="D29" s="67">
        <v>1098</v>
      </c>
      <c r="E29" s="67">
        <v>1280</v>
      </c>
      <c r="F29" s="67">
        <v>17513557548</v>
      </c>
      <c r="G29" s="92" t="s">
        <v>192</v>
      </c>
      <c r="H29" s="67"/>
      <c r="I29" s="67">
        <v>10</v>
      </c>
      <c r="J29" s="67"/>
      <c r="K29" s="67"/>
      <c r="L29" s="67"/>
      <c r="M29" s="67"/>
      <c r="N29" s="67"/>
      <c r="O29" s="67"/>
      <c r="P29" s="67">
        <v>10</v>
      </c>
      <c r="Q29" s="67"/>
      <c r="R29" s="67"/>
      <c r="S29" s="67" t="s">
        <v>193</v>
      </c>
      <c r="T29" s="67"/>
      <c r="U29" s="67"/>
      <c r="V29" s="67">
        <v>10</v>
      </c>
      <c r="W29" s="67">
        <v>1098</v>
      </c>
      <c r="X29" s="68">
        <v>45760</v>
      </c>
      <c r="Y29" s="68"/>
      <c r="Z29" s="68"/>
      <c r="AA29" s="68"/>
      <c r="AB29" s="67"/>
      <c r="AC29" s="67">
        <v>1</v>
      </c>
      <c r="AD29" s="67" t="s">
        <v>8</v>
      </c>
      <c r="AE29" s="67"/>
      <c r="AF29">
        <v>0</v>
      </c>
      <c r="AO29">
        <v>5</v>
      </c>
    </row>
    <row r="30" spans="1:31">
      <c r="A30" s="67">
        <v>27</v>
      </c>
      <c r="B30" s="68">
        <v>45726</v>
      </c>
      <c r="C30" s="68">
        <v>45950</v>
      </c>
      <c r="D30" s="67">
        <v>698</v>
      </c>
      <c r="E30" s="67"/>
      <c r="F30" s="67">
        <v>15838066352</v>
      </c>
      <c r="G30" s="92" t="s">
        <v>194</v>
      </c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>
        <v>10</v>
      </c>
      <c r="W30" s="67" t="s">
        <v>167</v>
      </c>
      <c r="X30" s="68">
        <v>45774</v>
      </c>
      <c r="Y30" s="67"/>
      <c r="Z30" s="67"/>
      <c r="AA30" s="67"/>
      <c r="AB30" s="67"/>
      <c r="AC30" s="67">
        <v>1</v>
      </c>
      <c r="AD30" s="67">
        <v>29.9</v>
      </c>
      <c r="AE30" s="67"/>
    </row>
    <row r="31" spans="1:43">
      <c r="A31" s="67">
        <v>28</v>
      </c>
      <c r="B31" s="72">
        <v>45728</v>
      </c>
      <c r="C31" s="72">
        <v>45755</v>
      </c>
      <c r="D31" s="71">
        <v>950</v>
      </c>
      <c r="E31" s="71"/>
      <c r="F31" s="67">
        <v>13838321330</v>
      </c>
      <c r="G31" s="92" t="s">
        <v>195</v>
      </c>
      <c r="H31" s="67">
        <v>10</v>
      </c>
      <c r="I31" s="67">
        <v>10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>
        <v>1</v>
      </c>
      <c r="W31" s="67">
        <v>950</v>
      </c>
      <c r="X31" s="68">
        <v>45757</v>
      </c>
      <c r="Y31" s="68">
        <v>45775</v>
      </c>
      <c r="Z31" s="67"/>
      <c r="AA31" s="67"/>
      <c r="AB31" s="67"/>
      <c r="AC31" s="67">
        <v>2</v>
      </c>
      <c r="AD31" s="67" t="s">
        <v>8</v>
      </c>
      <c r="AE31" s="67"/>
      <c r="AF31">
        <v>5</v>
      </c>
      <c r="AG31">
        <v>0</v>
      </c>
      <c r="AQ31">
        <v>1</v>
      </c>
    </row>
    <row r="32" s="62" customFormat="1" spans="1:31">
      <c r="A32" s="69">
        <v>29</v>
      </c>
      <c r="B32" s="70">
        <v>45728</v>
      </c>
      <c r="C32" s="69" t="s">
        <v>167</v>
      </c>
      <c r="D32" s="69">
        <v>299</v>
      </c>
      <c r="E32" s="69"/>
      <c r="F32" s="69">
        <v>15136241134</v>
      </c>
      <c r="G32" s="93" t="s">
        <v>196</v>
      </c>
      <c r="H32" s="69"/>
      <c r="I32" s="69">
        <v>4</v>
      </c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>
        <v>1</v>
      </c>
      <c r="W32" s="69">
        <v>299</v>
      </c>
      <c r="X32" s="70">
        <v>45762</v>
      </c>
      <c r="Y32" s="69"/>
      <c r="Z32" s="69"/>
      <c r="AA32" s="69"/>
      <c r="AB32" s="69"/>
      <c r="AC32" s="69">
        <v>1</v>
      </c>
      <c r="AD32" s="69" t="s">
        <v>57</v>
      </c>
      <c r="AE32" s="69"/>
    </row>
    <row r="33" spans="1:33">
      <c r="A33" s="67">
        <v>30</v>
      </c>
      <c r="B33" s="72">
        <v>45732</v>
      </c>
      <c r="C33" s="72">
        <v>45702</v>
      </c>
      <c r="D33" s="71">
        <v>980</v>
      </c>
      <c r="E33" s="71"/>
      <c r="F33" s="67">
        <v>13526755633</v>
      </c>
      <c r="G33" s="92" t="s">
        <v>197</v>
      </c>
      <c r="H33" s="67"/>
      <c r="I33" s="67">
        <v>20</v>
      </c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>
        <v>980</v>
      </c>
      <c r="X33" s="68"/>
      <c r="Y33" s="67"/>
      <c r="Z33" s="67"/>
      <c r="AA33" s="67"/>
      <c r="AB33" s="67"/>
      <c r="AC33" s="67">
        <v>0</v>
      </c>
      <c r="AD33" s="67">
        <v>29.9</v>
      </c>
      <c r="AE33" s="67"/>
      <c r="AF33">
        <v>1</v>
      </c>
      <c r="AG33">
        <v>14</v>
      </c>
    </row>
    <row r="34" spans="1:37">
      <c r="A34" s="67">
        <v>31</v>
      </c>
      <c r="B34" s="72">
        <v>45732</v>
      </c>
      <c r="C34" s="72">
        <v>45667</v>
      </c>
      <c r="D34" s="71">
        <v>1200</v>
      </c>
      <c r="E34" s="71"/>
      <c r="F34" s="67">
        <v>15090086718</v>
      </c>
      <c r="G34" s="92" t="s">
        <v>198</v>
      </c>
      <c r="H34" s="67">
        <v>10</v>
      </c>
      <c r="I34" s="67"/>
      <c r="J34" s="67"/>
      <c r="K34" s="67">
        <v>11</v>
      </c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>
        <v>1200</v>
      </c>
      <c r="X34" s="68">
        <v>45768</v>
      </c>
      <c r="Y34" s="67"/>
      <c r="Z34" s="67"/>
      <c r="AA34" s="67"/>
      <c r="AB34" s="67"/>
      <c r="AC34" s="67">
        <v>1</v>
      </c>
      <c r="AD34" s="67" t="s">
        <v>8</v>
      </c>
      <c r="AE34" s="67"/>
      <c r="AK34">
        <v>1</v>
      </c>
    </row>
    <row r="35" spans="1:43">
      <c r="A35" s="67">
        <v>32</v>
      </c>
      <c r="B35" s="72">
        <v>45732</v>
      </c>
      <c r="C35" s="72">
        <v>45932</v>
      </c>
      <c r="D35" s="71">
        <v>1280</v>
      </c>
      <c r="E35" s="71">
        <f>1046.6+698</f>
        <v>1744.6</v>
      </c>
      <c r="F35" s="67">
        <v>15082959901</v>
      </c>
      <c r="G35" s="92" t="s">
        <v>199</v>
      </c>
      <c r="H35" s="67">
        <v>10</v>
      </c>
      <c r="I35" s="67">
        <v>10</v>
      </c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>
        <v>10</v>
      </c>
      <c r="W35" s="67">
        <v>1280</v>
      </c>
      <c r="X35" s="68">
        <v>45760</v>
      </c>
      <c r="Y35" s="67"/>
      <c r="Z35" s="67"/>
      <c r="AA35" s="67"/>
      <c r="AB35" s="67"/>
      <c r="AC35" s="67">
        <v>1</v>
      </c>
      <c r="AD35" s="67" t="s">
        <v>8</v>
      </c>
      <c r="AE35" s="67"/>
      <c r="AF35">
        <v>0</v>
      </c>
      <c r="AG35">
        <v>0</v>
      </c>
      <c r="AK35">
        <v>11</v>
      </c>
      <c r="AQ35">
        <v>2</v>
      </c>
    </row>
    <row r="36" spans="1:37">
      <c r="A36" s="67">
        <v>33</v>
      </c>
      <c r="B36" s="72">
        <v>45733</v>
      </c>
      <c r="C36" s="72">
        <v>45756</v>
      </c>
      <c r="D36" s="71">
        <v>1280</v>
      </c>
      <c r="E36" s="71"/>
      <c r="F36" s="67">
        <v>18703639792</v>
      </c>
      <c r="G36" s="92" t="s">
        <v>200</v>
      </c>
      <c r="H36" s="67"/>
      <c r="I36" s="67">
        <v>10</v>
      </c>
      <c r="J36" s="67">
        <v>10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>
        <v>1200</v>
      </c>
      <c r="X36" s="68">
        <v>45748</v>
      </c>
      <c r="Y36" s="68">
        <v>45752</v>
      </c>
      <c r="Z36" s="68">
        <v>45760</v>
      </c>
      <c r="AA36" s="68">
        <v>45769</v>
      </c>
      <c r="AB36" s="68">
        <v>45777</v>
      </c>
      <c r="AC36" s="67">
        <v>5</v>
      </c>
      <c r="AD36" s="67" t="s">
        <v>8</v>
      </c>
      <c r="AE36" s="67"/>
      <c r="AK36">
        <v>2</v>
      </c>
    </row>
    <row r="37" spans="1:32">
      <c r="A37" s="67">
        <v>34</v>
      </c>
      <c r="B37" s="72">
        <v>11</v>
      </c>
      <c r="C37" s="71" t="s">
        <v>167</v>
      </c>
      <c r="D37" s="71">
        <v>1200</v>
      </c>
      <c r="E37" s="71">
        <v>1280</v>
      </c>
      <c r="F37" s="67">
        <v>15093773611</v>
      </c>
      <c r="G37" s="71" t="s">
        <v>201</v>
      </c>
      <c r="H37" s="67">
        <v>10</v>
      </c>
      <c r="I37" s="67">
        <v>10</v>
      </c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>
        <v>1200</v>
      </c>
      <c r="X37" s="68">
        <v>45748</v>
      </c>
      <c r="Y37" s="68">
        <v>45754</v>
      </c>
      <c r="Z37" s="68">
        <v>45761</v>
      </c>
      <c r="AA37" s="68">
        <v>45772</v>
      </c>
      <c r="AB37" s="68">
        <v>45777</v>
      </c>
      <c r="AC37" s="67">
        <v>5</v>
      </c>
      <c r="AD37" s="67" t="s">
        <v>8</v>
      </c>
      <c r="AE37" s="67"/>
      <c r="AF37">
        <v>2</v>
      </c>
    </row>
    <row r="38" spans="1:42">
      <c r="A38" s="67">
        <v>35</v>
      </c>
      <c r="B38" s="72">
        <v>45738</v>
      </c>
      <c r="C38" s="72">
        <v>45843</v>
      </c>
      <c r="D38" s="71">
        <v>980</v>
      </c>
      <c r="E38" s="71">
        <v>2180</v>
      </c>
      <c r="F38" s="67">
        <v>13676981490</v>
      </c>
      <c r="G38" s="71" t="s">
        <v>202</v>
      </c>
      <c r="H38" s="67">
        <v>10</v>
      </c>
      <c r="I38" s="67">
        <v>10</v>
      </c>
      <c r="J38" s="67"/>
      <c r="K38" s="67"/>
      <c r="L38" s="67"/>
      <c r="M38" s="67"/>
      <c r="N38" s="67">
        <v>10</v>
      </c>
      <c r="O38" s="67"/>
      <c r="P38" s="67">
        <v>10</v>
      </c>
      <c r="Q38" s="67"/>
      <c r="R38" s="67"/>
      <c r="S38" s="67"/>
      <c r="T38" s="67"/>
      <c r="U38" s="67"/>
      <c r="V38" s="67">
        <v>1</v>
      </c>
      <c r="W38" s="67">
        <v>980</v>
      </c>
      <c r="X38" s="68">
        <v>45750</v>
      </c>
      <c r="Y38" s="68">
        <v>45761</v>
      </c>
      <c r="Z38" s="68">
        <v>45769</v>
      </c>
      <c r="AA38" s="68">
        <v>45772</v>
      </c>
      <c r="AB38" s="67"/>
      <c r="AC38" s="67">
        <v>4</v>
      </c>
      <c r="AD38" s="67" t="s">
        <v>8</v>
      </c>
      <c r="AE38" s="67"/>
      <c r="AF38">
        <v>13</v>
      </c>
      <c r="AP38">
        <v>2</v>
      </c>
    </row>
    <row r="39" spans="1:34">
      <c r="A39" s="67">
        <v>36</v>
      </c>
      <c r="B39" s="72">
        <v>45738</v>
      </c>
      <c r="C39" s="72">
        <v>45975</v>
      </c>
      <c r="D39" s="71">
        <v>980</v>
      </c>
      <c r="E39" s="71"/>
      <c r="F39" s="67">
        <v>15981896316</v>
      </c>
      <c r="G39" s="71" t="s">
        <v>203</v>
      </c>
      <c r="H39" s="67">
        <v>11</v>
      </c>
      <c r="I39" s="67">
        <v>11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>
        <v>980</v>
      </c>
      <c r="X39" s="68">
        <v>45759</v>
      </c>
      <c r="Y39" s="68">
        <v>45777</v>
      </c>
      <c r="Z39" s="67"/>
      <c r="AA39" s="67"/>
      <c r="AB39" s="67"/>
      <c r="AC39" s="67">
        <v>2</v>
      </c>
      <c r="AD39" s="67">
        <v>39.9</v>
      </c>
      <c r="AE39" s="67"/>
      <c r="AF39">
        <v>2</v>
      </c>
      <c r="AG39">
        <v>10</v>
      </c>
      <c r="AH39">
        <v>12</v>
      </c>
    </row>
    <row r="40" spans="1:42">
      <c r="A40" s="67">
        <v>37</v>
      </c>
      <c r="B40" s="72">
        <v>45738</v>
      </c>
      <c r="C40" s="71" t="s">
        <v>167</v>
      </c>
      <c r="D40" s="71">
        <v>980</v>
      </c>
      <c r="E40" s="71"/>
      <c r="F40" s="67">
        <v>18703758998</v>
      </c>
      <c r="G40" s="71" t="s">
        <v>204</v>
      </c>
      <c r="H40" s="67"/>
      <c r="I40" s="67"/>
      <c r="J40" s="67"/>
      <c r="K40" s="67"/>
      <c r="L40" s="67"/>
      <c r="M40" s="67"/>
      <c r="N40" s="67">
        <v>5</v>
      </c>
      <c r="O40" s="67">
        <v>5</v>
      </c>
      <c r="P40" s="67"/>
      <c r="Q40" s="67"/>
      <c r="R40" s="67"/>
      <c r="S40" s="67"/>
      <c r="T40" s="67"/>
      <c r="U40" s="67"/>
      <c r="V40" s="67"/>
      <c r="W40" s="67">
        <v>980</v>
      </c>
      <c r="X40" s="68">
        <v>45759</v>
      </c>
      <c r="Y40" s="68">
        <v>45766</v>
      </c>
      <c r="Z40" s="68">
        <v>45773</v>
      </c>
      <c r="AA40" s="67"/>
      <c r="AB40" s="67"/>
      <c r="AC40" s="67">
        <v>3</v>
      </c>
      <c r="AD40" s="67" t="s">
        <v>57</v>
      </c>
      <c r="AE40" s="67"/>
      <c r="AN40">
        <v>1</v>
      </c>
      <c r="AP40">
        <v>2</v>
      </c>
    </row>
    <row r="41" spans="1:40">
      <c r="A41" s="67">
        <v>38</v>
      </c>
      <c r="B41" s="72">
        <v>45738</v>
      </c>
      <c r="C41" s="71" t="s">
        <v>167</v>
      </c>
      <c r="D41" s="71">
        <v>3000</v>
      </c>
      <c r="E41" s="71"/>
      <c r="F41" s="67">
        <v>13253556169</v>
      </c>
      <c r="G41" s="71" t="s">
        <v>205</v>
      </c>
      <c r="H41" s="67">
        <v>10</v>
      </c>
      <c r="I41" s="67"/>
      <c r="J41" s="67"/>
      <c r="K41" s="67"/>
      <c r="L41" s="67"/>
      <c r="M41" s="67"/>
      <c r="N41" s="67">
        <v>10</v>
      </c>
      <c r="O41" s="67"/>
      <c r="P41" s="67"/>
      <c r="Q41" s="67">
        <v>10</v>
      </c>
      <c r="R41" s="67"/>
      <c r="S41" s="67"/>
      <c r="T41" s="67" t="s">
        <v>206</v>
      </c>
      <c r="U41" s="67"/>
      <c r="V41" s="67"/>
      <c r="W41" s="67">
        <v>3000</v>
      </c>
      <c r="X41" s="68">
        <v>45749</v>
      </c>
      <c r="Y41" s="68">
        <v>45758</v>
      </c>
      <c r="Z41" s="68">
        <v>45768</v>
      </c>
      <c r="AA41" s="67"/>
      <c r="AB41" s="67"/>
      <c r="AC41" s="67">
        <v>3</v>
      </c>
      <c r="AD41" s="67" t="s">
        <v>57</v>
      </c>
      <c r="AE41" s="67"/>
      <c r="AF41">
        <v>1</v>
      </c>
      <c r="AM41">
        <v>7</v>
      </c>
      <c r="AN41">
        <v>6</v>
      </c>
    </row>
    <row r="42" s="63" customFormat="1" spans="1:31">
      <c r="A42" s="74">
        <v>39</v>
      </c>
      <c r="B42" s="75">
        <v>45739</v>
      </c>
      <c r="C42" s="74" t="s">
        <v>167</v>
      </c>
      <c r="D42" s="74">
        <v>980</v>
      </c>
      <c r="E42" s="74"/>
      <c r="F42" s="74">
        <v>13234515587</v>
      </c>
      <c r="G42" s="74" t="s">
        <v>207</v>
      </c>
      <c r="H42" s="74">
        <v>10</v>
      </c>
      <c r="I42" s="74">
        <v>10</v>
      </c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1</v>
      </c>
      <c r="W42" s="74">
        <v>980</v>
      </c>
      <c r="X42" s="75">
        <v>45749</v>
      </c>
      <c r="Y42" s="75">
        <v>45758</v>
      </c>
      <c r="Z42" s="75">
        <v>45763</v>
      </c>
      <c r="AA42" s="75">
        <v>45774</v>
      </c>
      <c r="AB42" s="74"/>
      <c r="AC42" s="74">
        <v>4</v>
      </c>
      <c r="AD42" s="74" t="s">
        <v>8</v>
      </c>
      <c r="AE42" s="74"/>
    </row>
    <row r="43" s="63" customFormat="1" spans="1:32">
      <c r="A43" s="74">
        <v>40</v>
      </c>
      <c r="B43" s="75">
        <v>45739</v>
      </c>
      <c r="C43" s="75">
        <v>45842</v>
      </c>
      <c r="D43" s="74">
        <v>500</v>
      </c>
      <c r="E43" s="74"/>
      <c r="F43" s="74">
        <v>19714518532</v>
      </c>
      <c r="G43" s="74" t="s">
        <v>208</v>
      </c>
      <c r="H43" s="74">
        <v>5</v>
      </c>
      <c r="I43" s="74">
        <v>5</v>
      </c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>
        <v>500</v>
      </c>
      <c r="X43" s="75">
        <v>45753</v>
      </c>
      <c r="Y43" s="75">
        <v>45756</v>
      </c>
      <c r="Z43" s="74"/>
      <c r="AA43" s="74"/>
      <c r="AB43" s="74"/>
      <c r="AC43" s="74">
        <v>2</v>
      </c>
      <c r="AD43" s="74" t="s">
        <v>8</v>
      </c>
      <c r="AE43" s="74"/>
      <c r="AF43" s="63">
        <v>0</v>
      </c>
    </row>
    <row r="44" spans="1:32">
      <c r="A44" s="67">
        <v>41</v>
      </c>
      <c r="B44" s="72">
        <v>45739</v>
      </c>
      <c r="C44" s="72">
        <v>45922</v>
      </c>
      <c r="D44" s="71">
        <v>980</v>
      </c>
      <c r="E44" s="71"/>
      <c r="F44" s="67">
        <v>13253335022</v>
      </c>
      <c r="G44" s="67" t="s">
        <v>209</v>
      </c>
      <c r="H44" s="67">
        <v>20</v>
      </c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>
        <v>980</v>
      </c>
      <c r="X44" s="68">
        <v>45755</v>
      </c>
      <c r="Y44" s="68">
        <v>45762</v>
      </c>
      <c r="Z44" s="68">
        <v>45776</v>
      </c>
      <c r="AA44" s="67"/>
      <c r="AB44" s="67"/>
      <c r="AC44" s="67">
        <v>3</v>
      </c>
      <c r="AD44" s="67" t="s">
        <v>57</v>
      </c>
      <c r="AE44" s="67"/>
      <c r="AF44">
        <v>3</v>
      </c>
    </row>
    <row r="45" spans="1:43">
      <c r="A45" s="67">
        <v>43</v>
      </c>
      <c r="B45" s="72">
        <v>45740</v>
      </c>
      <c r="C45" s="72">
        <v>45863</v>
      </c>
      <c r="D45" s="71">
        <v>980</v>
      </c>
      <c r="E45" s="71">
        <f>980+980</f>
        <v>1960</v>
      </c>
      <c r="F45" s="67">
        <v>13343756894</v>
      </c>
      <c r="G45" s="67" t="s">
        <v>210</v>
      </c>
      <c r="H45" s="67">
        <v>20</v>
      </c>
      <c r="I45" s="67">
        <v>20</v>
      </c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>
        <v>980</v>
      </c>
      <c r="X45" s="68">
        <v>45751</v>
      </c>
      <c r="Y45" s="68">
        <v>45762</v>
      </c>
      <c r="Z45" s="68">
        <v>45766</v>
      </c>
      <c r="AA45" s="68">
        <v>45772</v>
      </c>
      <c r="AB45" s="67"/>
      <c r="AC45" s="67">
        <v>4</v>
      </c>
      <c r="AD45" s="67" t="s">
        <v>8</v>
      </c>
      <c r="AE45" s="67"/>
      <c r="AF45">
        <v>1</v>
      </c>
      <c r="AG45">
        <v>1</v>
      </c>
      <c r="AQ45">
        <v>3</v>
      </c>
    </row>
    <row r="46" spans="1:43">
      <c r="A46" s="67">
        <v>44</v>
      </c>
      <c r="B46" s="76">
        <v>45740</v>
      </c>
      <c r="C46" s="72">
        <v>45959</v>
      </c>
      <c r="D46" s="71">
        <v>1800</v>
      </c>
      <c r="E46" s="71"/>
      <c r="F46" s="67">
        <v>13592581253</v>
      </c>
      <c r="G46" s="67" t="s">
        <v>211</v>
      </c>
      <c r="H46" s="67"/>
      <c r="I46" s="67">
        <v>10</v>
      </c>
      <c r="J46" s="67">
        <v>11</v>
      </c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>
        <v>11</v>
      </c>
      <c r="W46" s="67">
        <v>1800</v>
      </c>
      <c r="X46" s="68">
        <v>45775</v>
      </c>
      <c r="Y46" s="67"/>
      <c r="Z46" s="67"/>
      <c r="AA46" s="67"/>
      <c r="AB46" s="67"/>
      <c r="AC46" s="67">
        <v>1</v>
      </c>
      <c r="AD46" s="67" t="s">
        <v>9</v>
      </c>
      <c r="AE46" s="67"/>
      <c r="AG46">
        <v>5</v>
      </c>
      <c r="AH46">
        <v>6</v>
      </c>
      <c r="AQ46">
        <v>8</v>
      </c>
    </row>
    <row r="47" spans="1:43">
      <c r="A47" s="67">
        <v>45</v>
      </c>
      <c r="B47" s="72">
        <v>45741</v>
      </c>
      <c r="C47" s="71" t="s">
        <v>167</v>
      </c>
      <c r="D47" s="71">
        <f>1280</f>
        <v>1280</v>
      </c>
      <c r="E47" s="71">
        <v>1980</v>
      </c>
      <c r="F47" s="67">
        <v>13018378523</v>
      </c>
      <c r="G47" s="95" t="s">
        <v>212</v>
      </c>
      <c r="H47" s="96"/>
      <c r="I47" s="96">
        <v>10</v>
      </c>
      <c r="J47" s="96">
        <v>10</v>
      </c>
      <c r="K47" s="67"/>
      <c r="L47" s="67"/>
      <c r="M47" s="67"/>
      <c r="N47" s="67"/>
      <c r="O47" s="67"/>
      <c r="P47" s="67"/>
      <c r="Q47" s="67"/>
      <c r="R47" s="67">
        <v>10</v>
      </c>
      <c r="S47" s="67"/>
      <c r="T47" s="67"/>
      <c r="U47" s="67"/>
      <c r="V47" s="67">
        <v>10</v>
      </c>
      <c r="W47" s="67">
        <v>1280</v>
      </c>
      <c r="X47" s="68">
        <v>45768</v>
      </c>
      <c r="Y47" s="68">
        <v>45772</v>
      </c>
      <c r="Z47" s="67"/>
      <c r="AA47" s="67"/>
      <c r="AB47" s="67"/>
      <c r="AC47" s="67">
        <v>2</v>
      </c>
      <c r="AD47" s="67">
        <v>39.9</v>
      </c>
      <c r="AE47" s="67" t="s">
        <v>213</v>
      </c>
      <c r="AG47">
        <v>18</v>
      </c>
      <c r="AH47">
        <v>4</v>
      </c>
      <c r="AI47">
        <v>5</v>
      </c>
      <c r="AQ47">
        <v>5</v>
      </c>
    </row>
    <row r="48" s="62" customFormat="1" spans="1:33">
      <c r="A48" s="69">
        <v>46</v>
      </c>
      <c r="B48" s="70">
        <v>45741</v>
      </c>
      <c r="C48" s="69" t="s">
        <v>167</v>
      </c>
      <c r="D48" s="69">
        <v>980</v>
      </c>
      <c r="E48" s="69"/>
      <c r="F48" s="69" t="s">
        <v>167</v>
      </c>
      <c r="G48" s="69" t="s">
        <v>214</v>
      </c>
      <c r="H48" s="69"/>
      <c r="I48" s="69">
        <v>10</v>
      </c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>
        <v>10</v>
      </c>
      <c r="W48" s="69">
        <v>980</v>
      </c>
      <c r="X48" s="70">
        <v>45748</v>
      </c>
      <c r="Y48" s="70">
        <v>45750</v>
      </c>
      <c r="Z48" s="70">
        <v>45758</v>
      </c>
      <c r="AA48" s="70">
        <v>45765</v>
      </c>
      <c r="AB48" s="70">
        <v>45776</v>
      </c>
      <c r="AC48" s="69">
        <v>5</v>
      </c>
      <c r="AD48" s="69" t="s">
        <v>8</v>
      </c>
      <c r="AE48" s="69"/>
      <c r="AG48" s="62">
        <v>0</v>
      </c>
    </row>
    <row r="49" spans="1:33">
      <c r="A49" s="67">
        <v>47</v>
      </c>
      <c r="B49" s="72">
        <v>45744</v>
      </c>
      <c r="C49" s="71">
        <v>9.19</v>
      </c>
      <c r="D49" s="71">
        <v>980</v>
      </c>
      <c r="E49" s="71"/>
      <c r="F49" s="67">
        <v>18538514135</v>
      </c>
      <c r="G49" s="97" t="s">
        <v>215</v>
      </c>
      <c r="H49" s="67">
        <v>10</v>
      </c>
      <c r="I49" s="67">
        <v>10</v>
      </c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>
        <v>1</v>
      </c>
      <c r="W49" s="67">
        <v>980</v>
      </c>
      <c r="X49" s="68">
        <v>45751</v>
      </c>
      <c r="Y49" s="68">
        <v>45754</v>
      </c>
      <c r="Z49" s="68">
        <v>45766</v>
      </c>
      <c r="AA49" s="67"/>
      <c r="AB49" s="67"/>
      <c r="AC49" s="67">
        <v>3</v>
      </c>
      <c r="AD49" s="67">
        <v>39.9</v>
      </c>
      <c r="AE49" s="67"/>
      <c r="AF49">
        <v>5</v>
      </c>
      <c r="AG49">
        <v>5</v>
      </c>
    </row>
    <row r="50" s="62" customFormat="1" spans="1:33">
      <c r="A50" s="69">
        <v>48</v>
      </c>
      <c r="B50" s="70">
        <v>45744</v>
      </c>
      <c r="C50" s="69">
        <v>3.23</v>
      </c>
      <c r="D50" s="69">
        <v>299</v>
      </c>
      <c r="E50" s="69"/>
      <c r="F50" s="69">
        <v>13460710444</v>
      </c>
      <c r="G50" s="69" t="s">
        <v>216</v>
      </c>
      <c r="H50" s="69"/>
      <c r="I50" s="69">
        <v>4</v>
      </c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>
        <v>1</v>
      </c>
      <c r="W50" s="69">
        <v>299</v>
      </c>
      <c r="X50" s="70">
        <v>45749</v>
      </c>
      <c r="Y50" s="70">
        <v>45755</v>
      </c>
      <c r="Z50" s="70">
        <v>45765</v>
      </c>
      <c r="AA50" s="69"/>
      <c r="AB50" s="69"/>
      <c r="AC50" s="69">
        <v>3</v>
      </c>
      <c r="AD50" s="69" t="s">
        <v>8</v>
      </c>
      <c r="AE50" s="69"/>
      <c r="AG50" s="62">
        <v>0</v>
      </c>
    </row>
    <row r="51" s="62" customFormat="1" spans="1:33">
      <c r="A51" s="69">
        <v>49</v>
      </c>
      <c r="B51" s="70">
        <v>45746</v>
      </c>
      <c r="C51" s="77">
        <v>8.23</v>
      </c>
      <c r="D51" s="69">
        <v>980</v>
      </c>
      <c r="E51" s="69"/>
      <c r="F51" s="69">
        <v>13525706061</v>
      </c>
      <c r="G51" s="69" t="s">
        <v>217</v>
      </c>
      <c r="H51" s="69">
        <v>10</v>
      </c>
      <c r="I51" s="69">
        <v>10</v>
      </c>
      <c r="J51" s="69"/>
      <c r="K51" s="69"/>
      <c r="L51" s="69"/>
      <c r="M51" s="69"/>
      <c r="N51" s="69"/>
      <c r="O51" s="69">
        <v>10</v>
      </c>
      <c r="P51" s="69">
        <v>10</v>
      </c>
      <c r="Q51" s="69"/>
      <c r="R51" s="69"/>
      <c r="S51" s="69"/>
      <c r="T51" s="69"/>
      <c r="U51" s="69"/>
      <c r="V51" s="69"/>
      <c r="W51" s="69">
        <v>980</v>
      </c>
      <c r="X51" s="70">
        <v>45750</v>
      </c>
      <c r="Y51" s="70">
        <v>45754</v>
      </c>
      <c r="Z51" s="70">
        <v>45762</v>
      </c>
      <c r="AA51" s="70">
        <v>45767</v>
      </c>
      <c r="AB51" s="69"/>
      <c r="AC51" s="69">
        <v>4</v>
      </c>
      <c r="AD51" s="69">
        <v>39.9</v>
      </c>
      <c r="AE51" s="69"/>
      <c r="AF51" s="62">
        <v>0</v>
      </c>
      <c r="AG51" s="62">
        <v>0</v>
      </c>
    </row>
    <row r="52" spans="1:42">
      <c r="A52" s="67">
        <v>50</v>
      </c>
      <c r="B52" s="78">
        <v>45748</v>
      </c>
      <c r="C52" s="79" t="s">
        <v>218</v>
      </c>
      <c r="D52" s="79">
        <v>980</v>
      </c>
      <c r="E52" s="79">
        <v>1190</v>
      </c>
      <c r="F52" s="84">
        <v>13526520682</v>
      </c>
      <c r="G52" s="84" t="s">
        <v>95</v>
      </c>
      <c r="H52" s="84">
        <v>10</v>
      </c>
      <c r="I52" s="84">
        <v>10</v>
      </c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>
        <v>980</v>
      </c>
      <c r="X52" s="83">
        <v>45748</v>
      </c>
      <c r="Y52" s="83">
        <v>45756</v>
      </c>
      <c r="Z52" s="83">
        <v>45763</v>
      </c>
      <c r="AA52" s="83">
        <v>45772</v>
      </c>
      <c r="AB52" s="83">
        <v>45776</v>
      </c>
      <c r="AC52" s="84">
        <v>5</v>
      </c>
      <c r="AD52" s="84"/>
      <c r="AE52" s="84"/>
      <c r="AF52">
        <v>10</v>
      </c>
      <c r="AG52">
        <v>0</v>
      </c>
      <c r="AO52">
        <v>0</v>
      </c>
      <c r="AP52">
        <v>1</v>
      </c>
    </row>
    <row r="53" spans="1:44">
      <c r="A53" s="67">
        <v>51</v>
      </c>
      <c r="B53" s="78">
        <v>45748</v>
      </c>
      <c r="C53" s="79"/>
      <c r="D53" s="79">
        <v>470</v>
      </c>
      <c r="E53" s="79">
        <v>490</v>
      </c>
      <c r="F53" s="84"/>
      <c r="G53" s="84" t="s">
        <v>219</v>
      </c>
      <c r="H53" s="84"/>
      <c r="I53" s="84">
        <v>10</v>
      </c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>
        <v>10</v>
      </c>
      <c r="W53" s="84">
        <v>470</v>
      </c>
      <c r="X53" s="83">
        <v>45758</v>
      </c>
      <c r="Y53" s="83">
        <v>45767</v>
      </c>
      <c r="Z53" s="84"/>
      <c r="AA53" s="84"/>
      <c r="AB53" s="84"/>
      <c r="AC53" s="84">
        <v>2</v>
      </c>
      <c r="AD53" s="84"/>
      <c r="AE53" s="84"/>
      <c r="AF53">
        <v>15</v>
      </c>
      <c r="AR53">
        <v>8</v>
      </c>
    </row>
    <row r="54" spans="1:43">
      <c r="A54" s="67">
        <v>52</v>
      </c>
      <c r="B54" s="78">
        <v>45750</v>
      </c>
      <c r="C54" s="79">
        <v>2.22</v>
      </c>
      <c r="D54" s="79">
        <v>980</v>
      </c>
      <c r="E54" s="79"/>
      <c r="F54" s="84">
        <v>15369811449</v>
      </c>
      <c r="G54" s="84" t="s">
        <v>69</v>
      </c>
      <c r="H54" s="84">
        <v>10</v>
      </c>
      <c r="I54" s="84">
        <v>10</v>
      </c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 t="s">
        <v>220</v>
      </c>
      <c r="V54" s="84">
        <v>1</v>
      </c>
      <c r="W54" s="84">
        <v>980</v>
      </c>
      <c r="X54" s="83">
        <v>45761</v>
      </c>
      <c r="Y54" s="83">
        <v>45775</v>
      </c>
      <c r="Z54" s="84"/>
      <c r="AA54" s="84"/>
      <c r="AB54" s="84"/>
      <c r="AC54" s="84">
        <v>2</v>
      </c>
      <c r="AD54" s="84"/>
      <c r="AE54" s="84"/>
      <c r="AF54">
        <v>5</v>
      </c>
      <c r="AG54">
        <v>6</v>
      </c>
      <c r="AI54">
        <v>9</v>
      </c>
      <c r="AM54">
        <v>8</v>
      </c>
      <c r="AQ54">
        <v>4</v>
      </c>
    </row>
    <row r="55" spans="1:39">
      <c r="A55" s="67">
        <v>53</v>
      </c>
      <c r="B55" s="78">
        <v>45752</v>
      </c>
      <c r="C55" s="79">
        <v>9.2</v>
      </c>
      <c r="D55" s="79">
        <v>1080</v>
      </c>
      <c r="E55" s="79">
        <v>1380</v>
      </c>
      <c r="F55" s="84">
        <v>15003999512</v>
      </c>
      <c r="G55" s="84" t="s">
        <v>221</v>
      </c>
      <c r="H55" s="84"/>
      <c r="I55" s="84">
        <v>20</v>
      </c>
      <c r="J55" s="84"/>
      <c r="K55" s="84"/>
      <c r="L55" s="84"/>
      <c r="M55" s="84"/>
      <c r="N55" s="84"/>
      <c r="O55" s="84"/>
      <c r="P55" s="84"/>
      <c r="Q55" s="84">
        <v>10</v>
      </c>
      <c r="R55" s="84"/>
      <c r="S55" s="84"/>
      <c r="T55" s="84"/>
      <c r="U55" s="84"/>
      <c r="V55" s="84">
        <v>1</v>
      </c>
      <c r="W55" s="84">
        <v>1080</v>
      </c>
      <c r="X55" s="83">
        <v>45752</v>
      </c>
      <c r="Y55" s="83">
        <v>45758</v>
      </c>
      <c r="Z55" s="83">
        <v>45773</v>
      </c>
      <c r="AA55" s="84"/>
      <c r="AB55" s="84"/>
      <c r="AC55" s="84">
        <v>3</v>
      </c>
      <c r="AD55" s="84"/>
      <c r="AE55" s="84"/>
      <c r="AF55">
        <v>0</v>
      </c>
      <c r="AG55">
        <v>12</v>
      </c>
      <c r="AM55">
        <v>9</v>
      </c>
    </row>
    <row r="56" spans="1:32">
      <c r="A56" s="67">
        <v>54</v>
      </c>
      <c r="B56" s="78">
        <v>45753</v>
      </c>
      <c r="C56" s="79">
        <v>10.6</v>
      </c>
      <c r="D56" s="79">
        <v>598</v>
      </c>
      <c r="E56" s="79"/>
      <c r="F56" s="84">
        <v>18530033091</v>
      </c>
      <c r="G56" s="84" t="s">
        <v>222</v>
      </c>
      <c r="H56" s="84">
        <v>10</v>
      </c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>
        <v>1</v>
      </c>
      <c r="W56" s="84">
        <v>698</v>
      </c>
      <c r="X56" s="83">
        <v>45772</v>
      </c>
      <c r="Y56" s="84"/>
      <c r="Z56" s="84"/>
      <c r="AA56" s="84"/>
      <c r="AB56" s="84"/>
      <c r="AC56" s="84">
        <v>1</v>
      </c>
      <c r="AD56" s="84"/>
      <c r="AE56" s="84"/>
      <c r="AF56">
        <v>3</v>
      </c>
    </row>
    <row r="57" s="62" customFormat="1" spans="1:32">
      <c r="A57" s="69">
        <v>55</v>
      </c>
      <c r="B57" s="80">
        <v>45753</v>
      </c>
      <c r="C57" s="81">
        <v>2.2</v>
      </c>
      <c r="D57" s="81">
        <v>400</v>
      </c>
      <c r="E57" s="81"/>
      <c r="F57" s="81">
        <v>18848868821</v>
      </c>
      <c r="G57" s="81" t="s">
        <v>223</v>
      </c>
      <c r="H57" s="81">
        <v>4</v>
      </c>
      <c r="I57" s="81">
        <v>4</v>
      </c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>
        <v>1</v>
      </c>
      <c r="W57" s="81">
        <v>400</v>
      </c>
      <c r="X57" s="81"/>
      <c r="Y57" s="81"/>
      <c r="Z57" s="81"/>
      <c r="AA57" s="81"/>
      <c r="AB57" s="81"/>
      <c r="AC57" s="81">
        <v>0</v>
      </c>
      <c r="AD57" s="81"/>
      <c r="AE57" s="81"/>
      <c r="AF57" s="62">
        <v>0</v>
      </c>
    </row>
    <row r="58" spans="1:33">
      <c r="A58" s="67">
        <v>56</v>
      </c>
      <c r="B58" s="78">
        <v>45756</v>
      </c>
      <c r="C58" s="82">
        <v>5.2</v>
      </c>
      <c r="D58" s="79">
        <v>980</v>
      </c>
      <c r="E58" s="79"/>
      <c r="F58" s="84">
        <v>15638802106</v>
      </c>
      <c r="G58" s="84" t="s">
        <v>224</v>
      </c>
      <c r="H58" s="84">
        <v>10</v>
      </c>
      <c r="I58" s="84">
        <v>10</v>
      </c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>
        <v>980</v>
      </c>
      <c r="X58" s="83">
        <v>45756</v>
      </c>
      <c r="Y58" s="83">
        <v>45762</v>
      </c>
      <c r="Z58" s="83">
        <v>45769</v>
      </c>
      <c r="AA58" s="84"/>
      <c r="AB58" s="84"/>
      <c r="AC58" s="84">
        <v>3</v>
      </c>
      <c r="AD58" s="84"/>
      <c r="AE58" s="84"/>
      <c r="AF58">
        <v>7</v>
      </c>
      <c r="AG58">
        <v>3</v>
      </c>
    </row>
    <row r="59" spans="1:33">
      <c r="A59" s="67">
        <v>57</v>
      </c>
      <c r="B59" s="83">
        <v>45758</v>
      </c>
      <c r="C59" s="82">
        <v>5.31</v>
      </c>
      <c r="D59" s="84">
        <v>500</v>
      </c>
      <c r="E59" s="84"/>
      <c r="F59" s="84">
        <v>13838219770</v>
      </c>
      <c r="G59" s="84" t="s">
        <v>225</v>
      </c>
      <c r="H59" s="84">
        <v>5</v>
      </c>
      <c r="I59" s="84">
        <v>5</v>
      </c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>
        <v>500</v>
      </c>
      <c r="X59" s="83">
        <v>45762</v>
      </c>
      <c r="Y59" s="83">
        <v>45768</v>
      </c>
      <c r="Z59" s="83">
        <v>45775</v>
      </c>
      <c r="AA59" s="84"/>
      <c r="AB59" s="84"/>
      <c r="AC59" s="84">
        <v>3</v>
      </c>
      <c r="AD59" s="84"/>
      <c r="AE59" s="84"/>
      <c r="AF59">
        <v>1</v>
      </c>
      <c r="AG59">
        <v>0</v>
      </c>
    </row>
    <row r="60" spans="1:43">
      <c r="A60" s="67">
        <v>58</v>
      </c>
      <c r="B60" s="83">
        <v>45759</v>
      </c>
      <c r="C60" s="84">
        <v>7.11</v>
      </c>
      <c r="D60" s="84">
        <v>2980</v>
      </c>
      <c r="E60" s="84"/>
      <c r="F60" s="84">
        <v>18910373944</v>
      </c>
      <c r="G60" s="84" t="s">
        <v>67</v>
      </c>
      <c r="H60" s="84">
        <v>1</v>
      </c>
      <c r="I60" s="84">
        <v>10</v>
      </c>
      <c r="J60" s="84">
        <v>10</v>
      </c>
      <c r="K60" s="84"/>
      <c r="L60" s="84"/>
      <c r="M60" s="84"/>
      <c r="N60" s="84">
        <v>10</v>
      </c>
      <c r="O60" s="84">
        <v>10</v>
      </c>
      <c r="P60" s="84"/>
      <c r="Q60" s="84"/>
      <c r="R60" s="84"/>
      <c r="S60" s="84"/>
      <c r="T60" s="84"/>
      <c r="U60" s="84"/>
      <c r="V60" s="84"/>
      <c r="W60" s="84">
        <v>2980</v>
      </c>
      <c r="X60" s="83">
        <v>45762</v>
      </c>
      <c r="Y60" s="83">
        <v>45773</v>
      </c>
      <c r="Z60" s="84"/>
      <c r="AA60" s="84"/>
      <c r="AB60" s="84"/>
      <c r="AC60" s="84">
        <v>2</v>
      </c>
      <c r="AD60" s="84"/>
      <c r="AE60" s="84"/>
      <c r="AG60">
        <v>8</v>
      </c>
      <c r="AL60">
        <v>7</v>
      </c>
      <c r="AM60">
        <v>9</v>
      </c>
      <c r="AQ60">
        <v>1</v>
      </c>
    </row>
    <row r="61" spans="1:34">
      <c r="A61" s="67">
        <v>59</v>
      </c>
      <c r="B61" s="83">
        <v>45759</v>
      </c>
      <c r="C61" s="84">
        <v>8.3</v>
      </c>
      <c r="D61" s="84">
        <v>1980</v>
      </c>
      <c r="E61" s="84"/>
      <c r="F61" s="84">
        <v>13460307734</v>
      </c>
      <c r="G61" s="84" t="s">
        <v>226</v>
      </c>
      <c r="H61" s="84">
        <v>10</v>
      </c>
      <c r="I61" s="84">
        <v>10</v>
      </c>
      <c r="J61" s="84">
        <v>10</v>
      </c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>
        <v>1</v>
      </c>
      <c r="W61" s="84">
        <v>1980</v>
      </c>
      <c r="X61" s="83">
        <v>45763</v>
      </c>
      <c r="Y61" s="83">
        <v>45767</v>
      </c>
      <c r="Z61" s="83">
        <v>45773</v>
      </c>
      <c r="AA61" s="84"/>
      <c r="AB61" s="84"/>
      <c r="AC61" s="84">
        <v>3</v>
      </c>
      <c r="AD61" s="84"/>
      <c r="AE61" s="84"/>
      <c r="AF61">
        <v>4</v>
      </c>
      <c r="AG61">
        <v>5</v>
      </c>
      <c r="AH61">
        <v>2</v>
      </c>
    </row>
    <row r="62" spans="1:45">
      <c r="A62" s="67">
        <v>60</v>
      </c>
      <c r="B62" s="83">
        <v>45759</v>
      </c>
      <c r="C62" s="84">
        <v>2.12</v>
      </c>
      <c r="D62" s="84">
        <v>940</v>
      </c>
      <c r="E62" s="84">
        <v>798</v>
      </c>
      <c r="F62" s="84">
        <v>18237197182</v>
      </c>
      <c r="G62" s="84" t="s">
        <v>103</v>
      </c>
      <c r="H62" s="84">
        <v>20</v>
      </c>
      <c r="I62" s="84"/>
      <c r="J62" s="84"/>
      <c r="K62" s="84">
        <v>10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>
        <v>980</v>
      </c>
      <c r="X62" s="83">
        <v>45767</v>
      </c>
      <c r="Y62" s="83">
        <v>45777</v>
      </c>
      <c r="Z62" s="84"/>
      <c r="AA62" s="84"/>
      <c r="AB62" s="84"/>
      <c r="AC62" s="84">
        <v>2</v>
      </c>
      <c r="AD62" s="84"/>
      <c r="AE62" s="84"/>
      <c r="AF62">
        <v>9</v>
      </c>
      <c r="AK62">
        <v>6</v>
      </c>
      <c r="AO62">
        <v>9</v>
      </c>
      <c r="AP62">
        <v>1</v>
      </c>
      <c r="AQ62">
        <v>10</v>
      </c>
      <c r="AS62">
        <v>9</v>
      </c>
    </row>
    <row r="63" spans="1:33">
      <c r="A63" s="67">
        <v>61</v>
      </c>
      <c r="B63" s="83">
        <v>45759</v>
      </c>
      <c r="C63" s="84">
        <v>9.28</v>
      </c>
      <c r="D63" s="84">
        <v>698</v>
      </c>
      <c r="E63" s="84"/>
      <c r="F63" s="84">
        <v>15537550722</v>
      </c>
      <c r="G63" s="84" t="s">
        <v>227</v>
      </c>
      <c r="H63" s="84">
        <v>6</v>
      </c>
      <c r="I63" s="84">
        <v>6</v>
      </c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>
        <v>698</v>
      </c>
      <c r="X63" s="84"/>
      <c r="Y63" s="84"/>
      <c r="Z63" s="84"/>
      <c r="AA63" s="84"/>
      <c r="AB63" s="84"/>
      <c r="AC63" s="84">
        <v>0</v>
      </c>
      <c r="AD63" s="84"/>
      <c r="AE63" s="84"/>
      <c r="AF63">
        <v>1</v>
      </c>
      <c r="AG63">
        <v>1</v>
      </c>
    </row>
    <row r="64" spans="1:33">
      <c r="A64" s="85">
        <v>62</v>
      </c>
      <c r="B64" s="83">
        <v>45760</v>
      </c>
      <c r="C64" s="84">
        <v>8.15</v>
      </c>
      <c r="D64" s="84">
        <v>980</v>
      </c>
      <c r="E64" s="84"/>
      <c r="F64" s="84">
        <v>15824612221</v>
      </c>
      <c r="G64" s="84" t="s">
        <v>77</v>
      </c>
      <c r="H64" s="84">
        <v>11</v>
      </c>
      <c r="I64" s="84">
        <v>11</v>
      </c>
      <c r="J64" s="84">
        <v>1</v>
      </c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>
        <v>980</v>
      </c>
      <c r="X64" s="83">
        <v>45772</v>
      </c>
      <c r="Y64" s="83">
        <v>45776</v>
      </c>
      <c r="Z64" s="84"/>
      <c r="AA64" s="84"/>
      <c r="AB64" s="105"/>
      <c r="AC64" s="84">
        <v>2</v>
      </c>
      <c r="AD64" s="84"/>
      <c r="AE64" s="84"/>
      <c r="AF64">
        <v>3</v>
      </c>
      <c r="AG64">
        <v>5</v>
      </c>
    </row>
    <row r="65" spans="1:43">
      <c r="A65" s="85">
        <v>63</v>
      </c>
      <c r="B65" s="83">
        <v>45759</v>
      </c>
      <c r="C65" s="84"/>
      <c r="D65" s="84">
        <v>1280</v>
      </c>
      <c r="E65" s="84">
        <v>1980</v>
      </c>
      <c r="F65" s="84"/>
      <c r="G65" s="84" t="s">
        <v>228</v>
      </c>
      <c r="H65" s="84"/>
      <c r="I65" s="84">
        <v>10</v>
      </c>
      <c r="J65" s="84"/>
      <c r="K65" s="84"/>
      <c r="L65" s="84">
        <v>10</v>
      </c>
      <c r="M65" s="84"/>
      <c r="N65" s="84"/>
      <c r="O65" s="84"/>
      <c r="P65" s="84"/>
      <c r="Q65" s="84"/>
      <c r="R65" s="84">
        <v>10</v>
      </c>
      <c r="S65" s="84"/>
      <c r="T65" s="84"/>
      <c r="U65" s="84"/>
      <c r="V65" s="84">
        <v>10</v>
      </c>
      <c r="W65" s="84">
        <v>1280</v>
      </c>
      <c r="X65" s="83">
        <v>45767</v>
      </c>
      <c r="Y65" s="84"/>
      <c r="Z65" s="84"/>
      <c r="AA65" s="84"/>
      <c r="AB65" s="105"/>
      <c r="AC65" s="84">
        <v>1</v>
      </c>
      <c r="AD65" s="84"/>
      <c r="AE65" s="84"/>
      <c r="AG65">
        <v>7</v>
      </c>
      <c r="AI65">
        <v>7</v>
      </c>
      <c r="AM65">
        <v>9</v>
      </c>
      <c r="AQ65">
        <v>6</v>
      </c>
    </row>
    <row r="66" spans="1:45">
      <c r="A66" s="85">
        <v>64</v>
      </c>
      <c r="B66" s="83">
        <v>45760</v>
      </c>
      <c r="C66" s="84">
        <v>2.1</v>
      </c>
      <c r="D66" s="84">
        <v>980</v>
      </c>
      <c r="E66" s="84">
        <v>798</v>
      </c>
      <c r="F66" s="84">
        <v>15137823660</v>
      </c>
      <c r="G66" s="84" t="s">
        <v>85</v>
      </c>
      <c r="H66" s="84">
        <v>10</v>
      </c>
      <c r="I66" s="84">
        <v>10</v>
      </c>
      <c r="J66" s="84"/>
      <c r="K66" s="84">
        <v>10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>
        <v>980</v>
      </c>
      <c r="X66" s="83">
        <v>45766</v>
      </c>
      <c r="Y66" s="83">
        <v>45773</v>
      </c>
      <c r="Z66" s="84"/>
      <c r="AA66" s="84"/>
      <c r="AB66" s="84"/>
      <c r="AC66" s="84">
        <v>2</v>
      </c>
      <c r="AD66" s="84"/>
      <c r="AE66" s="84"/>
      <c r="AF66">
        <v>17</v>
      </c>
      <c r="AK66">
        <v>5</v>
      </c>
      <c r="AO66">
        <v>14</v>
      </c>
      <c r="AS66">
        <v>9</v>
      </c>
    </row>
    <row r="67" spans="1:33">
      <c r="A67" s="85">
        <v>65</v>
      </c>
      <c r="B67" s="83">
        <v>45761</v>
      </c>
      <c r="C67" s="84">
        <v>3.8</v>
      </c>
      <c r="D67" s="84">
        <v>698</v>
      </c>
      <c r="E67" s="84"/>
      <c r="F67" s="84">
        <v>15713856178</v>
      </c>
      <c r="G67" s="84" t="s">
        <v>229</v>
      </c>
      <c r="H67" s="84">
        <v>10</v>
      </c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>
        <v>698</v>
      </c>
      <c r="X67" s="83">
        <v>45766</v>
      </c>
      <c r="Y67" s="83">
        <v>45775</v>
      </c>
      <c r="Z67" s="84"/>
      <c r="AA67" s="84"/>
      <c r="AB67" s="84"/>
      <c r="AC67" s="84">
        <v>2</v>
      </c>
      <c r="AD67" s="84"/>
      <c r="AE67" s="84"/>
      <c r="AF67">
        <v>1</v>
      </c>
      <c r="AG67">
        <v>1</v>
      </c>
    </row>
    <row r="68" spans="1:31">
      <c r="A68" s="85">
        <v>66</v>
      </c>
      <c r="B68" s="83">
        <v>45761</v>
      </c>
      <c r="C68" s="84">
        <v>10.24</v>
      </c>
      <c r="D68" s="84">
        <v>640</v>
      </c>
      <c r="E68" s="84">
        <v>980</v>
      </c>
      <c r="F68" s="84">
        <v>17777781003</v>
      </c>
      <c r="G68" s="84" t="s">
        <v>230</v>
      </c>
      <c r="H68" s="84">
        <v>5</v>
      </c>
      <c r="I68" s="84">
        <v>5</v>
      </c>
      <c r="J68" s="84"/>
      <c r="K68" s="84"/>
      <c r="L68" s="84"/>
      <c r="M68" s="84"/>
      <c r="N68" s="84">
        <v>10</v>
      </c>
      <c r="O68" s="84"/>
      <c r="P68" s="84"/>
      <c r="Q68" s="84"/>
      <c r="R68" s="84"/>
      <c r="S68" s="84"/>
      <c r="T68" s="84"/>
      <c r="U68" s="84"/>
      <c r="V68" s="84"/>
      <c r="W68" s="84">
        <v>640</v>
      </c>
      <c r="X68" s="83">
        <v>45761</v>
      </c>
      <c r="Y68" s="83">
        <v>45765</v>
      </c>
      <c r="Z68" s="83">
        <v>45767</v>
      </c>
      <c r="AA68" s="83">
        <v>45775</v>
      </c>
      <c r="AB68" s="84"/>
      <c r="AC68" s="84">
        <v>4</v>
      </c>
      <c r="AD68" s="84"/>
      <c r="AE68" s="84"/>
    </row>
    <row r="69" spans="1:33">
      <c r="A69" s="85">
        <v>67</v>
      </c>
      <c r="B69" s="83">
        <v>45761</v>
      </c>
      <c r="C69" s="84">
        <v>12.3</v>
      </c>
      <c r="D69" s="84">
        <v>980</v>
      </c>
      <c r="E69" s="84"/>
      <c r="F69" s="84">
        <v>15938757073</v>
      </c>
      <c r="G69" s="84" t="s">
        <v>231</v>
      </c>
      <c r="H69" s="84">
        <v>10</v>
      </c>
      <c r="I69" s="84">
        <v>10</v>
      </c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>
        <v>980</v>
      </c>
      <c r="X69" s="83">
        <v>45765</v>
      </c>
      <c r="Y69" s="83">
        <v>45776</v>
      </c>
      <c r="Z69" s="84"/>
      <c r="AA69" s="84"/>
      <c r="AB69" s="84"/>
      <c r="AC69" s="84">
        <v>2</v>
      </c>
      <c r="AD69" s="84"/>
      <c r="AE69" s="84"/>
      <c r="AF69">
        <v>6</v>
      </c>
      <c r="AG69">
        <v>5</v>
      </c>
    </row>
    <row r="70" s="62" customFormat="1" spans="1:33">
      <c r="A70" s="104">
        <v>68</v>
      </c>
      <c r="B70" s="80">
        <v>45764</v>
      </c>
      <c r="C70" s="81" t="s">
        <v>167</v>
      </c>
      <c r="D70" s="81">
        <v>980</v>
      </c>
      <c r="E70" s="81"/>
      <c r="F70" s="81" t="s">
        <v>167</v>
      </c>
      <c r="G70" s="81" t="s">
        <v>232</v>
      </c>
      <c r="H70" s="81">
        <v>10</v>
      </c>
      <c r="I70" s="81">
        <v>10</v>
      </c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>
        <v>980</v>
      </c>
      <c r="X70" s="80">
        <v>45768</v>
      </c>
      <c r="Y70" s="80">
        <v>45772</v>
      </c>
      <c r="Z70" s="80">
        <v>45775</v>
      </c>
      <c r="AA70" s="81"/>
      <c r="AB70" s="81"/>
      <c r="AC70" s="81">
        <v>3</v>
      </c>
      <c r="AD70" s="81"/>
      <c r="AE70" s="81"/>
      <c r="AG70" s="62">
        <v>0</v>
      </c>
    </row>
    <row r="71" s="62" customFormat="1" spans="1:32">
      <c r="A71" s="104">
        <v>69</v>
      </c>
      <c r="B71" s="80">
        <v>45764</v>
      </c>
      <c r="C71" s="81">
        <v>7.2</v>
      </c>
      <c r="D71" s="81">
        <v>500</v>
      </c>
      <c r="E71" s="81"/>
      <c r="F71" s="81">
        <v>17633758509</v>
      </c>
      <c r="G71" s="81" t="s">
        <v>233</v>
      </c>
      <c r="H71" s="81">
        <v>5</v>
      </c>
      <c r="I71" s="81">
        <v>5</v>
      </c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>
        <v>980</v>
      </c>
      <c r="X71" s="80">
        <v>45768</v>
      </c>
      <c r="Y71" s="80"/>
      <c r="Z71" s="80"/>
      <c r="AA71" s="116"/>
      <c r="AB71" s="116"/>
      <c r="AC71" s="125">
        <v>1</v>
      </c>
      <c r="AD71" s="116"/>
      <c r="AE71" s="116"/>
      <c r="AF71" s="62">
        <v>0</v>
      </c>
    </row>
    <row r="72" spans="1:31">
      <c r="A72" s="85">
        <v>70</v>
      </c>
      <c r="B72" s="83">
        <v>45765</v>
      </c>
      <c r="C72" s="84">
        <v>2.4</v>
      </c>
      <c r="D72" s="84">
        <v>1380</v>
      </c>
      <c r="E72" s="84">
        <v>1280</v>
      </c>
      <c r="F72" s="84">
        <v>13253581582</v>
      </c>
      <c r="G72" s="84" t="s">
        <v>234</v>
      </c>
      <c r="H72" s="84"/>
      <c r="I72" s="84"/>
      <c r="J72" s="84"/>
      <c r="K72" s="84">
        <v>10</v>
      </c>
      <c r="L72" s="84"/>
      <c r="M72" s="84"/>
      <c r="N72" s="84"/>
      <c r="O72" s="84"/>
      <c r="P72" s="84">
        <v>10</v>
      </c>
      <c r="Q72" s="84"/>
      <c r="R72" s="84"/>
      <c r="S72" s="84"/>
      <c r="T72" s="84"/>
      <c r="U72" s="84">
        <v>10</v>
      </c>
      <c r="V72" s="84"/>
      <c r="W72" s="84">
        <v>1380</v>
      </c>
      <c r="X72" s="83">
        <v>45765</v>
      </c>
      <c r="Y72" s="83">
        <v>45768</v>
      </c>
      <c r="Z72" s="83">
        <v>45772</v>
      </c>
      <c r="AA72" s="5"/>
      <c r="AB72" s="5"/>
      <c r="AC72" s="31">
        <v>3</v>
      </c>
      <c r="AD72" s="5" t="s">
        <v>9</v>
      </c>
      <c r="AE72" s="5"/>
    </row>
    <row r="73" spans="1:31">
      <c r="A73" s="85">
        <v>71</v>
      </c>
      <c r="B73" s="109">
        <v>45765</v>
      </c>
      <c r="C73" s="109">
        <v>45971</v>
      </c>
      <c r="D73" s="110">
        <v>980</v>
      </c>
      <c r="E73" s="110" t="s">
        <v>235</v>
      </c>
      <c r="F73" s="110">
        <v>19143710056</v>
      </c>
      <c r="G73" s="110" t="s">
        <v>236</v>
      </c>
      <c r="H73" s="110">
        <v>10</v>
      </c>
      <c r="I73" s="110">
        <v>10</v>
      </c>
      <c r="J73" s="110"/>
      <c r="K73" s="110"/>
      <c r="L73" s="110"/>
      <c r="M73" s="110"/>
      <c r="N73" s="110"/>
      <c r="O73" s="110">
        <v>10</v>
      </c>
      <c r="P73" s="110"/>
      <c r="Q73" s="110"/>
      <c r="R73" s="110"/>
      <c r="S73" s="110"/>
      <c r="T73" s="110"/>
      <c r="U73" s="110"/>
      <c r="V73" s="110"/>
      <c r="W73" s="110">
        <v>980</v>
      </c>
      <c r="X73" s="109">
        <v>45765</v>
      </c>
      <c r="Y73" s="109">
        <v>45768</v>
      </c>
      <c r="Z73" s="109">
        <v>45772</v>
      </c>
      <c r="AA73" s="5"/>
      <c r="AB73" s="5"/>
      <c r="AC73" s="31">
        <v>3</v>
      </c>
      <c r="AD73" s="5"/>
      <c r="AE73" s="5"/>
    </row>
    <row r="74" s="62" customFormat="1" spans="1:32">
      <c r="A74" s="104">
        <v>72</v>
      </c>
      <c r="B74" s="111">
        <v>45766</v>
      </c>
      <c r="C74" s="112">
        <v>9.12</v>
      </c>
      <c r="D74" s="112">
        <v>500</v>
      </c>
      <c r="E74" s="112"/>
      <c r="F74" s="112">
        <v>15639913235</v>
      </c>
      <c r="G74" s="112" t="s">
        <v>68</v>
      </c>
      <c r="H74" s="112"/>
      <c r="I74" s="112">
        <v>10</v>
      </c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>
        <v>500</v>
      </c>
      <c r="X74" s="111">
        <v>45773</v>
      </c>
      <c r="Y74" s="112"/>
      <c r="Z74" s="112"/>
      <c r="AA74" s="116"/>
      <c r="AB74" s="116"/>
      <c r="AC74" s="125">
        <v>1</v>
      </c>
      <c r="AD74" s="116"/>
      <c r="AE74" s="116" t="s">
        <v>237</v>
      </c>
      <c r="AF74" s="62">
        <v>3</v>
      </c>
    </row>
    <row r="75" spans="1:37">
      <c r="A75" s="85">
        <v>74</v>
      </c>
      <c r="B75" s="109">
        <v>45767</v>
      </c>
      <c r="C75" s="110">
        <v>9.19</v>
      </c>
      <c r="D75" s="110">
        <v>1280</v>
      </c>
      <c r="E75" s="110"/>
      <c r="F75" s="110">
        <v>13783513672</v>
      </c>
      <c r="G75" s="110" t="s">
        <v>238</v>
      </c>
      <c r="H75" s="110">
        <v>1</v>
      </c>
      <c r="I75" s="110">
        <v>10</v>
      </c>
      <c r="J75" s="110"/>
      <c r="K75" s="110">
        <v>2</v>
      </c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>
        <v>1280</v>
      </c>
      <c r="X75" s="109">
        <v>45767</v>
      </c>
      <c r="Y75" s="110"/>
      <c r="Z75" s="110"/>
      <c r="AA75" s="5"/>
      <c r="AB75" s="5"/>
      <c r="AC75" s="31">
        <v>1</v>
      </c>
      <c r="AD75" s="5"/>
      <c r="AE75" s="5"/>
      <c r="AG75">
        <v>1</v>
      </c>
      <c r="AK75">
        <v>0</v>
      </c>
    </row>
    <row r="76" spans="1:39">
      <c r="A76" s="85">
        <v>75</v>
      </c>
      <c r="B76" s="109">
        <v>45768</v>
      </c>
      <c r="C76" s="110">
        <v>10.8</v>
      </c>
      <c r="D76" s="110">
        <v>1980</v>
      </c>
      <c r="E76" s="110"/>
      <c r="F76" s="110">
        <v>13939049946</v>
      </c>
      <c r="G76" s="112" t="s">
        <v>239</v>
      </c>
      <c r="H76" s="110">
        <v>10</v>
      </c>
      <c r="I76" s="110">
        <v>10</v>
      </c>
      <c r="J76" s="110"/>
      <c r="K76" s="110"/>
      <c r="L76" s="110">
        <v>10</v>
      </c>
      <c r="M76" s="110"/>
      <c r="N76" s="110">
        <v>1</v>
      </c>
      <c r="O76" s="110"/>
      <c r="P76" s="110"/>
      <c r="Q76" s="110"/>
      <c r="R76" s="110"/>
      <c r="S76" s="110"/>
      <c r="T76" s="110"/>
      <c r="U76" s="110"/>
      <c r="V76" s="110"/>
      <c r="W76" s="110">
        <v>1980</v>
      </c>
      <c r="X76" s="109">
        <v>45768</v>
      </c>
      <c r="Y76" s="109">
        <v>45773</v>
      </c>
      <c r="Z76" s="109">
        <v>45777</v>
      </c>
      <c r="AA76" s="5"/>
      <c r="AB76" s="5"/>
      <c r="AC76" s="31">
        <v>3</v>
      </c>
      <c r="AD76" s="5"/>
      <c r="AE76" s="5"/>
      <c r="AG76">
        <v>27</v>
      </c>
      <c r="AM76">
        <v>2</v>
      </c>
    </row>
    <row r="77" spans="1:33">
      <c r="A77" s="85">
        <v>76</v>
      </c>
      <c r="B77" s="109">
        <v>45769</v>
      </c>
      <c r="C77" s="110">
        <v>10.11</v>
      </c>
      <c r="D77" s="110">
        <v>980</v>
      </c>
      <c r="E77" s="110"/>
      <c r="F77" s="110">
        <v>15225097970</v>
      </c>
      <c r="G77" s="110" t="s">
        <v>240</v>
      </c>
      <c r="H77" s="110">
        <v>10</v>
      </c>
      <c r="I77" s="110">
        <v>10</v>
      </c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>
        <v>980</v>
      </c>
      <c r="X77" s="109">
        <v>45769</v>
      </c>
      <c r="Y77" s="109">
        <v>45773</v>
      </c>
      <c r="Z77" s="110"/>
      <c r="AA77" s="5"/>
      <c r="AB77" s="5"/>
      <c r="AC77" s="31">
        <v>2</v>
      </c>
      <c r="AD77" s="5"/>
      <c r="AE77" s="5"/>
      <c r="AF77">
        <v>5</v>
      </c>
      <c r="AG77">
        <v>5</v>
      </c>
    </row>
    <row r="78" spans="1:32">
      <c r="A78" s="85">
        <v>77</v>
      </c>
      <c r="B78" s="109">
        <v>45769</v>
      </c>
      <c r="C78" s="109">
        <v>45736</v>
      </c>
      <c r="D78" s="110">
        <v>598</v>
      </c>
      <c r="E78" s="110"/>
      <c r="F78" s="110">
        <v>1737179915</v>
      </c>
      <c r="G78" s="110" t="s">
        <v>241</v>
      </c>
      <c r="H78" s="110">
        <v>10</v>
      </c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>
        <v>598</v>
      </c>
      <c r="X78" s="109">
        <v>45769</v>
      </c>
      <c r="Y78" s="109">
        <v>45774</v>
      </c>
      <c r="Z78" s="110"/>
      <c r="AA78" s="5"/>
      <c r="AB78" s="5"/>
      <c r="AC78" s="31">
        <v>2</v>
      </c>
      <c r="AD78" s="5"/>
      <c r="AE78" s="5"/>
      <c r="AF78">
        <v>4</v>
      </c>
    </row>
    <row r="79" spans="1:46">
      <c r="A79" s="85">
        <v>78</v>
      </c>
      <c r="B79" s="109">
        <v>45769</v>
      </c>
      <c r="C79" s="110">
        <v>10.9</v>
      </c>
      <c r="D79" s="110">
        <v>1980</v>
      </c>
      <c r="E79" s="110"/>
      <c r="F79" s="110" t="s">
        <v>242</v>
      </c>
      <c r="G79" s="110" t="s">
        <v>243</v>
      </c>
      <c r="H79" s="110"/>
      <c r="I79" s="110">
        <v>10</v>
      </c>
      <c r="J79" s="110"/>
      <c r="K79" s="110"/>
      <c r="L79" s="110"/>
      <c r="M79" s="110"/>
      <c r="N79" s="110"/>
      <c r="O79" s="110"/>
      <c r="P79" s="110"/>
      <c r="Q79" s="110"/>
      <c r="R79" s="110">
        <v>10</v>
      </c>
      <c r="S79" s="110"/>
      <c r="T79" s="110"/>
      <c r="U79" s="110"/>
      <c r="V79" s="110"/>
      <c r="W79" s="110">
        <v>1980</v>
      </c>
      <c r="X79" s="109">
        <v>45777</v>
      </c>
      <c r="Y79" s="110"/>
      <c r="Z79" s="110"/>
      <c r="AA79" s="5"/>
      <c r="AB79" s="5"/>
      <c r="AC79" s="31">
        <v>1</v>
      </c>
      <c r="AD79" s="5"/>
      <c r="AE79" s="5"/>
      <c r="AI79">
        <v>16</v>
      </c>
      <c r="AQ79">
        <v>11</v>
      </c>
      <c r="AT79">
        <v>12</v>
      </c>
    </row>
    <row r="80" spans="1:33">
      <c r="A80" s="85">
        <v>79</v>
      </c>
      <c r="B80" s="113">
        <v>45773</v>
      </c>
      <c r="C80" s="110">
        <v>9.23</v>
      </c>
      <c r="D80" s="110">
        <v>698</v>
      </c>
      <c r="E80" s="110"/>
      <c r="F80" s="110">
        <v>15638908776</v>
      </c>
      <c r="G80" s="110" t="s">
        <v>244</v>
      </c>
      <c r="H80" s="110"/>
      <c r="I80" s="110">
        <v>10</v>
      </c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>
        <v>698</v>
      </c>
      <c r="X80" s="109">
        <v>45776</v>
      </c>
      <c r="Y80" s="109">
        <v>45777</v>
      </c>
      <c r="Z80" s="110"/>
      <c r="AA80" s="5"/>
      <c r="AB80" s="5"/>
      <c r="AC80" s="31">
        <v>2</v>
      </c>
      <c r="AD80" s="5"/>
      <c r="AE80" s="5"/>
      <c r="AG80">
        <v>3</v>
      </c>
    </row>
    <row r="81" customFormat="1" spans="1:32">
      <c r="A81" s="67">
        <v>80</v>
      </c>
      <c r="B81" s="109">
        <v>45777</v>
      </c>
      <c r="C81" s="110">
        <v>8.23</v>
      </c>
      <c r="D81" s="110">
        <v>698</v>
      </c>
      <c r="E81" s="5"/>
      <c r="F81" s="110">
        <v>18595888506</v>
      </c>
      <c r="G81" s="110" t="s">
        <v>245</v>
      </c>
      <c r="H81" s="110">
        <v>10</v>
      </c>
      <c r="I81" s="110">
        <v>1</v>
      </c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>
        <v>698</v>
      </c>
      <c r="X81" s="109">
        <v>45777</v>
      </c>
      <c r="Y81" s="110"/>
      <c r="Z81" s="110"/>
      <c r="AA81" s="110"/>
      <c r="AB81" s="110"/>
      <c r="AC81" s="110">
        <v>1</v>
      </c>
      <c r="AD81" s="110"/>
      <c r="AE81" s="5"/>
      <c r="AF81">
        <v>2</v>
      </c>
    </row>
    <row r="82" spans="1:32">
      <c r="A82" s="67">
        <v>81</v>
      </c>
      <c r="B82" s="109">
        <v>45783</v>
      </c>
      <c r="C82" s="110">
        <v>6.2</v>
      </c>
      <c r="D82" s="110">
        <v>698</v>
      </c>
      <c r="E82" s="110"/>
      <c r="F82" s="110">
        <v>18336330352</v>
      </c>
      <c r="G82" s="110" t="s">
        <v>246</v>
      </c>
      <c r="H82" s="110">
        <v>6</v>
      </c>
      <c r="I82" s="110">
        <v>6</v>
      </c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5">
        <v>698</v>
      </c>
      <c r="X82" s="5"/>
      <c r="Y82" s="5"/>
      <c r="Z82" s="5"/>
      <c r="AA82" s="5"/>
      <c r="AB82" s="5"/>
      <c r="AC82" s="31"/>
      <c r="AD82" s="5"/>
      <c r="AE82" s="5"/>
      <c r="AF82">
        <v>17</v>
      </c>
    </row>
    <row r="83" spans="1:37">
      <c r="A83" s="67">
        <v>82</v>
      </c>
      <c r="B83" s="109">
        <v>45783</v>
      </c>
      <c r="C83" s="110" t="s">
        <v>167</v>
      </c>
      <c r="D83" s="110">
        <v>698</v>
      </c>
      <c r="E83" s="110"/>
      <c r="F83" s="110">
        <v>15890032578</v>
      </c>
      <c r="G83" s="110" t="s">
        <v>247</v>
      </c>
      <c r="H83" s="110"/>
      <c r="I83" s="110"/>
      <c r="J83" s="110"/>
      <c r="K83" s="110">
        <v>10</v>
      </c>
      <c r="L83" s="110"/>
      <c r="M83" s="110"/>
      <c r="N83" s="110"/>
      <c r="O83" s="110"/>
      <c r="P83" s="110"/>
      <c r="Q83" s="110"/>
      <c r="R83" s="110">
        <v>1</v>
      </c>
      <c r="S83" s="110"/>
      <c r="T83" s="110"/>
      <c r="U83" s="110"/>
      <c r="V83" s="110"/>
      <c r="W83" s="5"/>
      <c r="X83" s="5"/>
      <c r="Y83" s="5"/>
      <c r="Z83" s="5"/>
      <c r="AA83" s="5"/>
      <c r="AB83" s="5"/>
      <c r="AC83" s="31"/>
      <c r="AD83" s="5"/>
      <c r="AE83" s="5"/>
      <c r="AK83">
        <v>9</v>
      </c>
    </row>
    <row r="84" spans="1:43">
      <c r="A84" s="67">
        <v>83</v>
      </c>
      <c r="B84" s="109">
        <v>45784</v>
      </c>
      <c r="C84" s="110">
        <v>9.1</v>
      </c>
      <c r="D84" s="110">
        <v>698</v>
      </c>
      <c r="E84" s="110"/>
      <c r="F84" s="110">
        <v>18339909960</v>
      </c>
      <c r="G84" s="110" t="s">
        <v>248</v>
      </c>
      <c r="H84" s="110">
        <v>10</v>
      </c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>
        <v>1</v>
      </c>
      <c r="W84" s="5"/>
      <c r="X84" s="5"/>
      <c r="Y84" s="5"/>
      <c r="Z84" s="5"/>
      <c r="AA84" s="5"/>
      <c r="AB84" s="5"/>
      <c r="AC84" s="31"/>
      <c r="AD84" s="5"/>
      <c r="AE84" s="5"/>
      <c r="AG84">
        <v>4</v>
      </c>
      <c r="AQ84">
        <v>1</v>
      </c>
    </row>
    <row r="85" spans="1:45">
      <c r="A85" s="67">
        <v>84</v>
      </c>
      <c r="B85" s="109">
        <v>45785</v>
      </c>
      <c r="C85" s="110">
        <v>10.6</v>
      </c>
      <c r="D85" s="110">
        <v>1280</v>
      </c>
      <c r="E85" s="110">
        <v>2980</v>
      </c>
      <c r="F85" s="110">
        <v>1870613639</v>
      </c>
      <c r="G85" s="110" t="s">
        <v>51</v>
      </c>
      <c r="H85" s="110">
        <v>11</v>
      </c>
      <c r="I85" s="110">
        <v>11</v>
      </c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>
        <v>1</v>
      </c>
      <c r="W85" s="5"/>
      <c r="X85" s="5"/>
      <c r="Y85" s="5"/>
      <c r="Z85" s="5"/>
      <c r="AA85" s="5"/>
      <c r="AB85" s="5"/>
      <c r="AC85" s="31"/>
      <c r="AD85" s="5"/>
      <c r="AE85" s="5"/>
      <c r="AF85">
        <v>21</v>
      </c>
      <c r="AH85">
        <v>18</v>
      </c>
      <c r="AM85">
        <v>14</v>
      </c>
      <c r="AN85">
        <v>5</v>
      </c>
      <c r="AO85">
        <v>6</v>
      </c>
      <c r="AP85">
        <v>5</v>
      </c>
      <c r="AS85">
        <v>12</v>
      </c>
    </row>
    <row r="86" spans="1:32">
      <c r="A86" s="67">
        <v>85</v>
      </c>
      <c r="B86" s="109"/>
      <c r="C86" s="110"/>
      <c r="D86" s="110"/>
      <c r="E86" s="110"/>
      <c r="F86" s="110"/>
      <c r="G86" s="110" t="s">
        <v>249</v>
      </c>
      <c r="H86" s="110">
        <v>10</v>
      </c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5"/>
      <c r="X86" s="5"/>
      <c r="Y86" s="5"/>
      <c r="Z86" s="5"/>
      <c r="AA86" s="5"/>
      <c r="AB86" s="5"/>
      <c r="AC86" s="31"/>
      <c r="AD86" s="5"/>
      <c r="AE86" s="5"/>
      <c r="AF86">
        <v>6</v>
      </c>
    </row>
    <row r="87" spans="1:37">
      <c r="A87" s="67">
        <v>86</v>
      </c>
      <c r="B87" s="110">
        <v>5.11</v>
      </c>
      <c r="C87" s="110">
        <v>7.25</v>
      </c>
      <c r="D87" s="110">
        <v>2000</v>
      </c>
      <c r="E87" s="110"/>
      <c r="F87" s="110">
        <v>13103811658</v>
      </c>
      <c r="G87" s="110" t="s">
        <v>231</v>
      </c>
      <c r="H87" s="110">
        <v>10</v>
      </c>
      <c r="I87" s="110"/>
      <c r="J87" s="110">
        <v>10</v>
      </c>
      <c r="K87" s="110">
        <v>10</v>
      </c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5"/>
      <c r="X87" s="5"/>
      <c r="Y87" s="5"/>
      <c r="Z87" s="5"/>
      <c r="AA87" s="5"/>
      <c r="AB87" s="5"/>
      <c r="AC87" s="31"/>
      <c r="AD87" s="5"/>
      <c r="AE87" s="5"/>
      <c r="AF87">
        <v>4</v>
      </c>
      <c r="AJ87">
        <v>4</v>
      </c>
      <c r="AK87">
        <v>6</v>
      </c>
    </row>
    <row r="88" spans="1:37">
      <c r="A88" s="67">
        <v>87</v>
      </c>
      <c r="B88" s="110">
        <v>5.11</v>
      </c>
      <c r="C88" s="114">
        <v>5.5</v>
      </c>
      <c r="D88" s="110">
        <v>1980</v>
      </c>
      <c r="E88" s="110"/>
      <c r="F88" s="110">
        <v>13015518856</v>
      </c>
      <c r="G88" s="110" t="s">
        <v>250</v>
      </c>
      <c r="H88" s="110">
        <v>10</v>
      </c>
      <c r="I88" s="110">
        <v>10</v>
      </c>
      <c r="J88" s="110"/>
      <c r="K88" s="110">
        <v>10</v>
      </c>
      <c r="L88" s="110"/>
      <c r="M88" s="110"/>
      <c r="N88" s="110"/>
      <c r="O88" s="110"/>
      <c r="P88" s="110"/>
      <c r="Q88" s="110"/>
      <c r="R88" s="110">
        <v>1</v>
      </c>
      <c r="S88" s="123"/>
      <c r="T88" s="110"/>
      <c r="U88" s="110"/>
      <c r="V88" s="110"/>
      <c r="W88" s="5"/>
      <c r="X88" s="5"/>
      <c r="Y88" s="5"/>
      <c r="Z88" s="5"/>
      <c r="AA88" s="5"/>
      <c r="AB88" s="5"/>
      <c r="AC88" s="31"/>
      <c r="AD88" s="5"/>
      <c r="AE88" s="5"/>
      <c r="AF88">
        <v>5</v>
      </c>
      <c r="AG88">
        <v>7</v>
      </c>
      <c r="AK88">
        <v>8</v>
      </c>
    </row>
    <row r="89" spans="1:37">
      <c r="A89" s="67">
        <v>88</v>
      </c>
      <c r="B89" s="110">
        <v>5.12</v>
      </c>
      <c r="C89" s="110">
        <v>12.29</v>
      </c>
      <c r="D89" s="110">
        <v>980</v>
      </c>
      <c r="E89" s="110"/>
      <c r="F89" s="110">
        <v>13502862956</v>
      </c>
      <c r="G89" s="110" t="s">
        <v>251</v>
      </c>
      <c r="H89" s="110">
        <v>10</v>
      </c>
      <c r="I89" s="110">
        <v>10</v>
      </c>
      <c r="J89" s="110"/>
      <c r="K89" s="110"/>
      <c r="L89" s="110"/>
      <c r="M89" s="110"/>
      <c r="N89" s="110"/>
      <c r="O89" s="110"/>
      <c r="P89" s="110"/>
      <c r="Q89" s="110"/>
      <c r="R89" s="110">
        <v>1</v>
      </c>
      <c r="S89" s="123"/>
      <c r="T89" s="110"/>
      <c r="U89" s="110"/>
      <c r="V89" s="110"/>
      <c r="W89" s="5"/>
      <c r="X89" s="5"/>
      <c r="Y89" s="5"/>
      <c r="Z89" s="5"/>
      <c r="AA89" s="5"/>
      <c r="AB89" s="5"/>
      <c r="AC89" s="31"/>
      <c r="AD89" s="5"/>
      <c r="AE89" s="5"/>
      <c r="AK89">
        <v>11</v>
      </c>
    </row>
    <row r="90" spans="1:43">
      <c r="A90" s="67">
        <v>89</v>
      </c>
      <c r="B90" s="110">
        <v>5.12</v>
      </c>
      <c r="C90" s="110" t="s">
        <v>167</v>
      </c>
      <c r="D90" s="110">
        <v>798</v>
      </c>
      <c r="E90" s="110"/>
      <c r="F90" s="110">
        <v>13673581707</v>
      </c>
      <c r="G90" s="110" t="s">
        <v>252</v>
      </c>
      <c r="H90" s="110"/>
      <c r="I90" s="110"/>
      <c r="J90" s="110"/>
      <c r="K90" s="110">
        <v>10</v>
      </c>
      <c r="L90" s="110"/>
      <c r="M90" s="110"/>
      <c r="N90" s="110"/>
      <c r="O90" s="110"/>
      <c r="P90" s="110"/>
      <c r="Q90" s="110"/>
      <c r="R90" s="110"/>
      <c r="S90" s="123"/>
      <c r="T90" s="110"/>
      <c r="U90" s="110"/>
      <c r="V90" s="110"/>
      <c r="W90" s="5"/>
      <c r="X90" s="5"/>
      <c r="Y90" s="5"/>
      <c r="Z90" s="5"/>
      <c r="AA90" s="5"/>
      <c r="AB90" s="5"/>
      <c r="AC90" s="31"/>
      <c r="AD90" s="5"/>
      <c r="AE90" s="5"/>
      <c r="AF90">
        <v>12</v>
      </c>
      <c r="AG90">
        <v>9</v>
      </c>
      <c r="AH90">
        <v>11</v>
      </c>
      <c r="AK90">
        <v>8</v>
      </c>
      <c r="AQ90">
        <v>9</v>
      </c>
    </row>
    <row r="91" spans="1:32">
      <c r="A91" s="67">
        <v>90</v>
      </c>
      <c r="B91" s="5">
        <v>5.16</v>
      </c>
      <c r="C91" s="5">
        <v>11.6</v>
      </c>
      <c r="D91" s="110">
        <v>350</v>
      </c>
      <c r="E91" s="5"/>
      <c r="F91" s="110">
        <v>15703807298</v>
      </c>
      <c r="G91" s="110" t="s">
        <v>253</v>
      </c>
      <c r="H91" s="84">
        <v>5</v>
      </c>
      <c r="I91" s="84"/>
      <c r="J91" s="84"/>
      <c r="K91" s="84"/>
      <c r="L91" s="5"/>
      <c r="M91" s="5"/>
      <c r="N91" s="5"/>
      <c r="O91" s="5"/>
      <c r="P91" s="5"/>
      <c r="Q91" s="5"/>
      <c r="R91" s="5"/>
      <c r="S91" s="124"/>
      <c r="T91" s="5"/>
      <c r="U91" s="5"/>
      <c r="V91" s="5"/>
      <c r="W91" s="5"/>
      <c r="X91" s="5"/>
      <c r="Y91" s="5"/>
      <c r="Z91" s="5"/>
      <c r="AA91" s="5"/>
      <c r="AB91" s="5"/>
      <c r="AC91" s="31"/>
      <c r="AD91" s="5"/>
      <c r="AE91" s="5"/>
      <c r="AF91">
        <v>5</v>
      </c>
    </row>
    <row r="92" spans="1:45">
      <c r="A92" s="67">
        <v>91</v>
      </c>
      <c r="B92" s="115">
        <v>5.2</v>
      </c>
      <c r="C92" s="5">
        <v>5.22</v>
      </c>
      <c r="D92" s="110">
        <v>798</v>
      </c>
      <c r="E92" s="5"/>
      <c r="F92" s="110"/>
      <c r="G92" s="110" t="s">
        <v>254</v>
      </c>
      <c r="H92" s="84">
        <v>1</v>
      </c>
      <c r="I92" s="84"/>
      <c r="J92" s="84"/>
      <c r="K92" s="84">
        <v>10</v>
      </c>
      <c r="L92" s="5"/>
      <c r="M92" s="5"/>
      <c r="N92" s="5"/>
      <c r="O92" s="5"/>
      <c r="P92" s="5"/>
      <c r="Q92" s="5"/>
      <c r="R92" s="5"/>
      <c r="AI92">
        <v>15</v>
      </c>
      <c r="AK92">
        <v>7</v>
      </c>
      <c r="AO92">
        <v>13</v>
      </c>
      <c r="AS92">
        <v>8</v>
      </c>
    </row>
    <row r="93" spans="1:44">
      <c r="A93" s="67">
        <v>92</v>
      </c>
      <c r="B93" s="115">
        <v>5.2</v>
      </c>
      <c r="C93" s="5">
        <v>11.15</v>
      </c>
      <c r="D93" s="110">
        <v>1280</v>
      </c>
      <c r="E93" s="5"/>
      <c r="F93" s="110">
        <v>18939268445</v>
      </c>
      <c r="G93" s="110" t="s">
        <v>255</v>
      </c>
      <c r="H93" s="84">
        <v>10</v>
      </c>
      <c r="I93" s="84">
        <v>10</v>
      </c>
      <c r="J93" s="84"/>
      <c r="K93" s="84"/>
      <c r="L93" s="5"/>
      <c r="M93" s="5"/>
      <c r="N93" s="5"/>
      <c r="O93" s="5"/>
      <c r="P93" s="5"/>
      <c r="Q93" s="5"/>
      <c r="R93" s="5"/>
      <c r="AF93">
        <v>7</v>
      </c>
      <c r="AR93">
        <v>8</v>
      </c>
    </row>
    <row r="94" s="62" customFormat="1" spans="1:33">
      <c r="A94" s="69">
        <v>93</v>
      </c>
      <c r="B94" s="116">
        <v>5.22</v>
      </c>
      <c r="C94" s="116">
        <v>10.27</v>
      </c>
      <c r="D94" s="112">
        <v>598</v>
      </c>
      <c r="E94" s="116"/>
      <c r="F94" s="112">
        <v>18437918803</v>
      </c>
      <c r="G94" s="112" t="s">
        <v>256</v>
      </c>
      <c r="H94" s="81">
        <v>5</v>
      </c>
      <c r="I94" s="81">
        <v>5</v>
      </c>
      <c r="J94" s="81"/>
      <c r="K94" s="81"/>
      <c r="L94" s="116"/>
      <c r="M94" s="116"/>
      <c r="N94" s="116"/>
      <c r="O94" s="116"/>
      <c r="P94" s="116"/>
      <c r="Q94" s="116"/>
      <c r="R94" s="116"/>
      <c r="AC94" s="126"/>
      <c r="AF94" s="62">
        <v>0</v>
      </c>
      <c r="AG94" s="62">
        <v>0</v>
      </c>
    </row>
    <row r="95" spans="1:32">
      <c r="A95" s="67">
        <v>94</v>
      </c>
      <c r="B95" s="5">
        <v>5.24</v>
      </c>
      <c r="C95" s="5">
        <v>4.2</v>
      </c>
      <c r="D95" s="110">
        <v>698</v>
      </c>
      <c r="E95" s="5"/>
      <c r="F95" s="110">
        <v>15378739306</v>
      </c>
      <c r="G95" s="110" t="s">
        <v>257</v>
      </c>
      <c r="H95" s="84">
        <v>10</v>
      </c>
      <c r="I95" s="84"/>
      <c r="J95" s="84"/>
      <c r="K95" s="84"/>
      <c r="L95" s="5"/>
      <c r="M95" s="5"/>
      <c r="N95" s="5"/>
      <c r="O95" s="5"/>
      <c r="P95" s="5"/>
      <c r="Q95" s="5"/>
      <c r="R95" s="5"/>
      <c r="AF95">
        <v>0</v>
      </c>
    </row>
    <row r="96" spans="1:33">
      <c r="A96" s="67">
        <v>95</v>
      </c>
      <c r="B96" s="5">
        <v>5.27</v>
      </c>
      <c r="C96" s="5">
        <v>6.28</v>
      </c>
      <c r="D96" s="110">
        <v>980</v>
      </c>
      <c r="E96" s="5"/>
      <c r="F96" s="110">
        <v>15839567392</v>
      </c>
      <c r="G96" s="110" t="s">
        <v>258</v>
      </c>
      <c r="H96" s="84"/>
      <c r="I96" s="84">
        <v>20</v>
      </c>
      <c r="J96" s="84"/>
      <c r="K96" s="84"/>
      <c r="L96" s="5"/>
      <c r="M96" s="5"/>
      <c r="N96" s="5"/>
      <c r="O96" s="5"/>
      <c r="P96" s="5"/>
      <c r="Q96" s="5"/>
      <c r="R96" s="5"/>
      <c r="AF96">
        <v>2</v>
      </c>
      <c r="AG96">
        <v>3</v>
      </c>
    </row>
    <row r="97" spans="1:43">
      <c r="A97" s="67">
        <v>96</v>
      </c>
      <c r="B97" s="115">
        <v>5.3</v>
      </c>
      <c r="C97" s="5">
        <v>12.6</v>
      </c>
      <c r="D97" s="110">
        <v>1980</v>
      </c>
      <c r="E97" s="5"/>
      <c r="F97" s="110">
        <v>15516152056</v>
      </c>
      <c r="G97" s="110" t="s">
        <v>259</v>
      </c>
      <c r="H97" s="84"/>
      <c r="I97" s="84"/>
      <c r="J97" s="84"/>
      <c r="K97" s="84"/>
      <c r="L97" s="5"/>
      <c r="M97" s="5"/>
      <c r="N97" s="5"/>
      <c r="O97" s="5"/>
      <c r="P97" s="5"/>
      <c r="Q97" s="5"/>
      <c r="R97" s="5"/>
      <c r="AF97">
        <v>2</v>
      </c>
      <c r="AG97">
        <v>2</v>
      </c>
      <c r="AQ97">
        <v>2</v>
      </c>
    </row>
    <row r="98" spans="1:34">
      <c r="A98" s="67">
        <v>97</v>
      </c>
      <c r="B98" s="115">
        <v>5.3</v>
      </c>
      <c r="C98" s="5">
        <v>10.22</v>
      </c>
      <c r="D98" s="110">
        <v>798</v>
      </c>
      <c r="E98" s="5"/>
      <c r="F98" s="110">
        <v>13638199599</v>
      </c>
      <c r="G98" s="110" t="s">
        <v>260</v>
      </c>
      <c r="H98" s="84"/>
      <c r="I98" s="84"/>
      <c r="J98" s="84"/>
      <c r="K98" s="84"/>
      <c r="L98" s="5"/>
      <c r="M98" s="5"/>
      <c r="N98" s="5"/>
      <c r="O98" s="5"/>
      <c r="P98" s="5"/>
      <c r="Q98" s="5"/>
      <c r="R98" s="5"/>
      <c r="AG98">
        <v>8</v>
      </c>
      <c r="AH98">
        <v>12</v>
      </c>
    </row>
    <row r="99" spans="1:32">
      <c r="A99" s="67">
        <v>98</v>
      </c>
      <c r="B99" s="5">
        <v>6.3</v>
      </c>
      <c r="C99" s="5">
        <v>10.4</v>
      </c>
      <c r="D99" s="110">
        <v>1280</v>
      </c>
      <c r="E99" s="5"/>
      <c r="F99" s="110">
        <v>15037903921</v>
      </c>
      <c r="G99" s="110" t="s">
        <v>261</v>
      </c>
      <c r="H99" s="84"/>
      <c r="I99" s="84"/>
      <c r="J99" s="84"/>
      <c r="K99" s="84"/>
      <c r="L99" s="5"/>
      <c r="M99" s="5"/>
      <c r="N99" s="5"/>
      <c r="O99" s="5"/>
      <c r="P99" s="5"/>
      <c r="Q99" s="5"/>
      <c r="R99" s="5"/>
      <c r="AF99">
        <v>1</v>
      </c>
    </row>
    <row r="100" spans="1:43">
      <c r="A100" s="67">
        <v>99</v>
      </c>
      <c r="B100" s="5">
        <v>6.15</v>
      </c>
      <c r="C100" s="5">
        <v>1.9</v>
      </c>
      <c r="D100" s="110">
        <v>1993</v>
      </c>
      <c r="E100" s="5"/>
      <c r="F100" s="110">
        <v>13526710735</v>
      </c>
      <c r="G100" s="110" t="s">
        <v>262</v>
      </c>
      <c r="H100" s="84"/>
      <c r="I100" s="84"/>
      <c r="J100" s="84"/>
      <c r="K100" s="84"/>
      <c r="L100" s="5"/>
      <c r="M100" s="5"/>
      <c r="N100" s="5"/>
      <c r="O100" s="5"/>
      <c r="P100" s="5"/>
      <c r="Q100" s="5"/>
      <c r="R100" s="5"/>
      <c r="AF100">
        <v>11</v>
      </c>
      <c r="AI100">
        <v>17</v>
      </c>
      <c r="AK100">
        <v>12</v>
      </c>
      <c r="AQ100">
        <v>1</v>
      </c>
    </row>
    <row r="101" spans="1:45">
      <c r="A101" s="67">
        <v>100</v>
      </c>
      <c r="B101" s="5">
        <v>6.16</v>
      </c>
      <c r="C101" s="5">
        <v>7.21</v>
      </c>
      <c r="D101" s="110">
        <v>2494</v>
      </c>
      <c r="E101" s="5"/>
      <c r="F101" s="110">
        <v>17745367396</v>
      </c>
      <c r="G101" s="110" t="s">
        <v>263</v>
      </c>
      <c r="H101" s="84"/>
      <c r="I101" s="84"/>
      <c r="J101" s="84"/>
      <c r="K101" s="84"/>
      <c r="L101" s="5"/>
      <c r="M101" s="5"/>
      <c r="N101" s="5"/>
      <c r="O101" s="5"/>
      <c r="P101" s="5"/>
      <c r="Q101" s="5"/>
      <c r="R101" s="5"/>
      <c r="AF101">
        <v>9</v>
      </c>
      <c r="AK101">
        <v>9</v>
      </c>
      <c r="AS101">
        <v>8</v>
      </c>
    </row>
    <row r="102" spans="1:43">
      <c r="A102" s="67">
        <v>101</v>
      </c>
      <c r="B102" s="5">
        <v>6.17</v>
      </c>
      <c r="C102" s="5">
        <v>2.13</v>
      </c>
      <c r="D102" s="110">
        <v>698</v>
      </c>
      <c r="E102" s="5"/>
      <c r="F102" s="110">
        <v>13783529246</v>
      </c>
      <c r="G102" s="110" t="s">
        <v>78</v>
      </c>
      <c r="H102" s="84"/>
      <c r="I102" s="84"/>
      <c r="J102" s="84"/>
      <c r="K102" s="84"/>
      <c r="L102" s="5"/>
      <c r="M102" s="5"/>
      <c r="N102" s="5"/>
      <c r="O102" s="5"/>
      <c r="P102" s="5"/>
      <c r="Q102" s="5"/>
      <c r="R102" s="5"/>
      <c r="AG102">
        <v>4</v>
      </c>
      <c r="AI102">
        <v>4</v>
      </c>
      <c r="AM102">
        <v>5</v>
      </c>
      <c r="AQ102">
        <v>5</v>
      </c>
    </row>
    <row r="103" s="62" customFormat="1" spans="1:32">
      <c r="A103" s="69">
        <v>102</v>
      </c>
      <c r="B103" s="116">
        <v>6.24</v>
      </c>
      <c r="C103" s="116"/>
      <c r="D103" s="112">
        <v>299</v>
      </c>
      <c r="E103" s="116"/>
      <c r="F103" s="112">
        <v>17788166961</v>
      </c>
      <c r="G103" s="112" t="s">
        <v>264</v>
      </c>
      <c r="H103" s="81"/>
      <c r="I103" s="81"/>
      <c r="J103" s="81"/>
      <c r="K103" s="81"/>
      <c r="L103" s="116"/>
      <c r="M103" s="116"/>
      <c r="N103" s="116"/>
      <c r="O103" s="116"/>
      <c r="P103" s="116"/>
      <c r="Q103" s="116"/>
      <c r="R103" s="116"/>
      <c r="AC103" s="126"/>
      <c r="AF103" s="62">
        <v>0</v>
      </c>
    </row>
    <row r="104" spans="1:42">
      <c r="A104" s="67">
        <v>103</v>
      </c>
      <c r="B104" s="5">
        <v>6.25</v>
      </c>
      <c r="C104" s="5">
        <v>10.14</v>
      </c>
      <c r="D104" s="110">
        <v>1180</v>
      </c>
      <c r="E104" s="5"/>
      <c r="F104" s="110">
        <v>19821591510</v>
      </c>
      <c r="G104" s="110" t="s">
        <v>265</v>
      </c>
      <c r="H104" s="84"/>
      <c r="I104" s="84"/>
      <c r="J104" s="84"/>
      <c r="K104" s="84"/>
      <c r="L104" s="5"/>
      <c r="M104" s="5"/>
      <c r="N104" s="5"/>
      <c r="O104" s="5"/>
      <c r="P104" s="5"/>
      <c r="Q104" s="5"/>
      <c r="R104" s="5"/>
      <c r="AP104">
        <v>5</v>
      </c>
    </row>
    <row r="105" spans="1:38">
      <c r="A105" s="67">
        <v>104</v>
      </c>
      <c r="B105" s="5">
        <v>6.26</v>
      </c>
      <c r="C105" s="5">
        <v>12.19</v>
      </c>
      <c r="D105" s="110">
        <v>1380</v>
      </c>
      <c r="E105" s="5"/>
      <c r="F105" s="110">
        <v>13523088892</v>
      </c>
      <c r="G105" s="110" t="s">
        <v>266</v>
      </c>
      <c r="H105" s="84"/>
      <c r="I105" s="84"/>
      <c r="J105" s="84"/>
      <c r="K105" s="84"/>
      <c r="L105" s="5"/>
      <c r="M105" s="5"/>
      <c r="N105" s="5"/>
      <c r="O105" s="5"/>
      <c r="P105" s="5"/>
      <c r="Q105" s="5"/>
      <c r="R105" s="5"/>
      <c r="AF105">
        <v>1</v>
      </c>
      <c r="AG105">
        <v>7</v>
      </c>
      <c r="AL105">
        <v>7</v>
      </c>
    </row>
    <row r="106" spans="1:43">
      <c r="A106" s="67">
        <v>105</v>
      </c>
      <c r="B106" s="5">
        <v>6.29</v>
      </c>
      <c r="C106" s="5"/>
      <c r="D106" s="110">
        <v>299</v>
      </c>
      <c r="E106" s="5">
        <v>1680</v>
      </c>
      <c r="F106" s="110"/>
      <c r="G106" s="110" t="s">
        <v>267</v>
      </c>
      <c r="H106" s="84"/>
      <c r="I106" s="84"/>
      <c r="J106" s="84"/>
      <c r="K106" s="84"/>
      <c r="L106" s="5"/>
      <c r="M106" s="5"/>
      <c r="N106" s="5"/>
      <c r="O106" s="5"/>
      <c r="P106" s="5"/>
      <c r="Q106" s="5"/>
      <c r="R106" s="5"/>
      <c r="AF106">
        <v>7</v>
      </c>
      <c r="AG106">
        <v>8</v>
      </c>
      <c r="AQ106">
        <v>7</v>
      </c>
    </row>
    <row r="107" spans="1:37">
      <c r="A107" s="67">
        <v>106</v>
      </c>
      <c r="B107" s="5">
        <v>7.2</v>
      </c>
      <c r="C107" s="5"/>
      <c r="D107" s="110">
        <v>1280</v>
      </c>
      <c r="E107" s="5"/>
      <c r="F107" s="110">
        <v>13676959768</v>
      </c>
      <c r="G107" s="110" t="s">
        <v>268</v>
      </c>
      <c r="H107" s="84"/>
      <c r="I107" s="84"/>
      <c r="J107" s="84"/>
      <c r="K107" s="84"/>
      <c r="L107" s="5"/>
      <c r="M107" s="5"/>
      <c r="N107" s="5"/>
      <c r="O107" s="5"/>
      <c r="P107" s="5"/>
      <c r="Q107" s="5"/>
      <c r="R107" s="5"/>
      <c r="AF107">
        <v>7</v>
      </c>
      <c r="AK107">
        <v>6</v>
      </c>
    </row>
    <row r="108" spans="1:35">
      <c r="A108" s="67">
        <v>107</v>
      </c>
      <c r="B108" s="5">
        <v>7.2</v>
      </c>
      <c r="C108" s="5">
        <v>4.24</v>
      </c>
      <c r="D108" s="110">
        <v>1980</v>
      </c>
      <c r="E108" s="5"/>
      <c r="F108" s="110">
        <v>15138973898</v>
      </c>
      <c r="G108" s="110" t="s">
        <v>269</v>
      </c>
      <c r="H108" s="84"/>
      <c r="I108" s="84"/>
      <c r="J108" s="84"/>
      <c r="K108" s="84"/>
      <c r="L108" s="5"/>
      <c r="M108" s="5"/>
      <c r="N108" s="5"/>
      <c r="O108" s="5"/>
      <c r="P108" s="5"/>
      <c r="Q108" s="5"/>
      <c r="R108" s="5"/>
      <c r="AI108">
        <v>2</v>
      </c>
    </row>
    <row r="109" spans="1:43">
      <c r="A109" s="67">
        <v>108</v>
      </c>
      <c r="B109" s="5">
        <v>7.12</v>
      </c>
      <c r="C109" s="5"/>
      <c r="D109" s="110">
        <v>1980</v>
      </c>
      <c r="E109" s="5"/>
      <c r="F109" s="110">
        <v>15738380825</v>
      </c>
      <c r="G109" s="110" t="s">
        <v>270</v>
      </c>
      <c r="H109" s="84"/>
      <c r="I109" s="84"/>
      <c r="J109" s="84"/>
      <c r="K109" s="84"/>
      <c r="L109" s="5"/>
      <c r="M109" s="5"/>
      <c r="N109" s="5"/>
      <c r="O109" s="5"/>
      <c r="P109" s="5"/>
      <c r="Q109" s="5"/>
      <c r="R109" s="5"/>
      <c r="AG109">
        <v>6</v>
      </c>
      <c r="AQ109">
        <v>8</v>
      </c>
    </row>
    <row r="110" spans="1:45">
      <c r="A110" s="67">
        <v>109</v>
      </c>
      <c r="B110" s="5">
        <v>7.16</v>
      </c>
      <c r="C110" s="5"/>
      <c r="D110" s="110">
        <v>4700</v>
      </c>
      <c r="E110" s="5"/>
      <c r="F110" s="110"/>
      <c r="G110" s="110" t="s">
        <v>104</v>
      </c>
      <c r="H110" s="84"/>
      <c r="I110" s="84"/>
      <c r="J110" s="84"/>
      <c r="K110" s="84"/>
      <c r="L110" s="5"/>
      <c r="M110" s="5"/>
      <c r="N110" s="5"/>
      <c r="O110" s="5"/>
      <c r="P110" s="5"/>
      <c r="Q110" s="5"/>
      <c r="R110" s="5"/>
      <c r="AG110">
        <v>17</v>
      </c>
      <c r="AS110">
        <v>19</v>
      </c>
    </row>
    <row r="111" spans="1:33">
      <c r="A111" s="67">
        <v>110</v>
      </c>
      <c r="B111" s="5">
        <v>7.17</v>
      </c>
      <c r="C111" s="5">
        <v>1.19</v>
      </c>
      <c r="D111" s="110">
        <v>1980</v>
      </c>
      <c r="E111" s="5"/>
      <c r="F111" s="110">
        <v>15283122196</v>
      </c>
      <c r="G111" s="110" t="s">
        <v>271</v>
      </c>
      <c r="H111" s="84"/>
      <c r="I111" s="84"/>
      <c r="J111" s="84"/>
      <c r="K111" s="84"/>
      <c r="L111" s="5"/>
      <c r="M111" s="5"/>
      <c r="N111" s="5"/>
      <c r="O111" s="5"/>
      <c r="P111" s="5"/>
      <c r="Q111" s="5"/>
      <c r="R111" s="5"/>
      <c r="AG111">
        <v>12</v>
      </c>
    </row>
    <row r="112" spans="1:32">
      <c r="A112" s="67">
        <v>111</v>
      </c>
      <c r="B112" s="5">
        <v>5.16</v>
      </c>
      <c r="C112" s="5">
        <v>11.6</v>
      </c>
      <c r="D112" s="110">
        <v>350</v>
      </c>
      <c r="E112" s="5"/>
      <c r="F112" s="110">
        <v>15703807298</v>
      </c>
      <c r="G112" s="110" t="s">
        <v>253</v>
      </c>
      <c r="H112" s="84"/>
      <c r="I112" s="84"/>
      <c r="J112" s="84"/>
      <c r="K112" s="84"/>
      <c r="L112" s="5"/>
      <c r="M112" s="5"/>
      <c r="N112" s="5"/>
      <c r="O112" s="5"/>
      <c r="P112" s="5"/>
      <c r="Q112" s="5"/>
      <c r="R112" s="5"/>
      <c r="AF112">
        <v>5</v>
      </c>
    </row>
    <row r="113" spans="1:33">
      <c r="A113" s="67">
        <v>112</v>
      </c>
      <c r="B113" s="5">
        <v>7.19</v>
      </c>
      <c r="C113" s="5">
        <v>9.9</v>
      </c>
      <c r="D113" s="110">
        <v>698</v>
      </c>
      <c r="E113" s="5"/>
      <c r="F113" s="110">
        <v>15239171408</v>
      </c>
      <c r="G113" s="110" t="s">
        <v>272</v>
      </c>
      <c r="H113" s="84"/>
      <c r="I113" s="84"/>
      <c r="J113" s="84"/>
      <c r="K113" s="84"/>
      <c r="L113" s="5"/>
      <c r="M113" s="5"/>
      <c r="N113" s="5"/>
      <c r="O113" s="5"/>
      <c r="P113" s="5"/>
      <c r="Q113" s="5"/>
      <c r="R113" s="5"/>
      <c r="AG113">
        <v>1</v>
      </c>
    </row>
    <row r="114" spans="1:33">
      <c r="A114" s="67">
        <v>113</v>
      </c>
      <c r="B114" s="5">
        <v>7.21</v>
      </c>
      <c r="C114" s="5">
        <v>4.21</v>
      </c>
      <c r="D114" s="110">
        <v>698</v>
      </c>
      <c r="E114" s="5"/>
      <c r="F114" s="110">
        <v>18937888231</v>
      </c>
      <c r="G114" s="110" t="s">
        <v>273</v>
      </c>
      <c r="H114" s="84"/>
      <c r="I114" s="84"/>
      <c r="J114" s="84"/>
      <c r="K114" s="84"/>
      <c r="L114" s="5"/>
      <c r="M114" s="5"/>
      <c r="N114" s="5"/>
      <c r="O114" s="5"/>
      <c r="P114" s="5"/>
      <c r="Q114" s="5"/>
      <c r="R114" s="5"/>
      <c r="AF114">
        <v>4</v>
      </c>
      <c r="AG114">
        <v>4</v>
      </c>
    </row>
    <row r="115" spans="1:32">
      <c r="A115" s="67">
        <v>114</v>
      </c>
      <c r="B115" s="5">
        <v>7.23</v>
      </c>
      <c r="C115" s="5">
        <v>12.11</v>
      </c>
      <c r="D115" s="110">
        <v>1980</v>
      </c>
      <c r="E115" s="5"/>
      <c r="F115" s="110">
        <v>15803868425</v>
      </c>
      <c r="G115" s="110" t="s">
        <v>274</v>
      </c>
      <c r="H115" s="84"/>
      <c r="I115" s="84"/>
      <c r="J115" s="84"/>
      <c r="K115" s="84"/>
      <c r="L115" s="5"/>
      <c r="M115" s="5"/>
      <c r="N115" s="5"/>
      <c r="O115" s="5"/>
      <c r="P115" s="5"/>
      <c r="Q115" s="5"/>
      <c r="R115" s="5"/>
      <c r="AF115">
        <v>30</v>
      </c>
    </row>
    <row r="116" spans="1:33">
      <c r="A116" s="67">
        <v>115</v>
      </c>
      <c r="B116" s="5">
        <v>7.24</v>
      </c>
      <c r="C116" s="5">
        <v>10.04</v>
      </c>
      <c r="D116" s="110">
        <v>1980</v>
      </c>
      <c r="E116" s="5"/>
      <c r="F116" s="110">
        <v>15824873966</v>
      </c>
      <c r="G116" s="119" t="s">
        <v>275</v>
      </c>
      <c r="H116" s="84"/>
      <c r="I116" s="84"/>
      <c r="J116" s="84"/>
      <c r="K116" s="84"/>
      <c r="L116" s="5"/>
      <c r="M116" s="5"/>
      <c r="N116" s="5"/>
      <c r="O116" s="5"/>
      <c r="P116" s="5"/>
      <c r="Q116" s="5"/>
      <c r="R116" s="5"/>
      <c r="AG116">
        <v>40</v>
      </c>
    </row>
    <row r="117" spans="1:43">
      <c r="A117" s="67">
        <v>116</v>
      </c>
      <c r="B117" s="5">
        <v>7.27</v>
      </c>
      <c r="C117" s="5"/>
      <c r="D117" s="110">
        <v>1980</v>
      </c>
      <c r="E117" s="5"/>
      <c r="F117" s="110">
        <v>13526692638</v>
      </c>
      <c r="G117" s="119" t="s">
        <v>276</v>
      </c>
      <c r="H117" s="84"/>
      <c r="I117" s="84"/>
      <c r="J117" s="84"/>
      <c r="K117" s="84"/>
      <c r="L117" s="5"/>
      <c r="M117" s="5"/>
      <c r="N117" s="5"/>
      <c r="O117" s="5"/>
      <c r="P117" s="5"/>
      <c r="Q117" s="5"/>
      <c r="R117" s="5"/>
      <c r="AF117">
        <v>6</v>
      </c>
      <c r="AG117">
        <v>13</v>
      </c>
      <c r="AQ117">
        <v>7</v>
      </c>
    </row>
    <row r="118" spans="1:33">
      <c r="A118" s="67">
        <v>117</v>
      </c>
      <c r="B118" s="5">
        <v>7.28</v>
      </c>
      <c r="C118" s="5">
        <v>11.09</v>
      </c>
      <c r="D118" s="110">
        <v>1980</v>
      </c>
      <c r="E118" s="5"/>
      <c r="F118" s="110">
        <v>18738174779</v>
      </c>
      <c r="G118" s="119" t="s">
        <v>83</v>
      </c>
      <c r="H118" s="84"/>
      <c r="I118" s="84"/>
      <c r="J118" s="84"/>
      <c r="K118" s="84"/>
      <c r="L118" s="5"/>
      <c r="M118" s="5"/>
      <c r="N118" s="5"/>
      <c r="O118" s="5"/>
      <c r="P118" s="5"/>
      <c r="Q118" s="5"/>
      <c r="R118" s="5"/>
      <c r="AF118">
        <v>12</v>
      </c>
      <c r="AG118">
        <v>12</v>
      </c>
    </row>
    <row r="119" spans="1:32">
      <c r="A119" s="67">
        <v>118</v>
      </c>
      <c r="B119" s="5">
        <v>7.28</v>
      </c>
      <c r="C119" s="5"/>
      <c r="D119" s="110">
        <v>299</v>
      </c>
      <c r="E119" s="5"/>
      <c r="F119" s="110">
        <v>18695883318</v>
      </c>
      <c r="G119" s="119" t="s">
        <v>277</v>
      </c>
      <c r="H119" s="84"/>
      <c r="I119" s="84"/>
      <c r="J119" s="84"/>
      <c r="K119" s="84"/>
      <c r="L119" s="5"/>
      <c r="M119" s="5"/>
      <c r="N119" s="5"/>
      <c r="O119" s="5"/>
      <c r="P119" s="5"/>
      <c r="Q119" s="5"/>
      <c r="R119" s="5"/>
      <c r="AF119">
        <v>1</v>
      </c>
    </row>
    <row r="120" spans="1:33">
      <c r="A120" s="67">
        <v>119</v>
      </c>
      <c r="B120" s="117">
        <v>7.29</v>
      </c>
      <c r="C120" s="117"/>
      <c r="D120" s="118">
        <v>299</v>
      </c>
      <c r="E120" s="117"/>
      <c r="F120" s="118">
        <v>13285076886</v>
      </c>
      <c r="G120" s="120" t="s">
        <v>278</v>
      </c>
      <c r="H120" s="121"/>
      <c r="I120" s="121"/>
      <c r="J120" s="121"/>
      <c r="K120" s="121"/>
      <c r="L120" s="117"/>
      <c r="M120" s="117"/>
      <c r="N120" s="117"/>
      <c r="O120" s="117"/>
      <c r="P120" s="117"/>
      <c r="Q120" s="117"/>
      <c r="R120" s="117"/>
      <c r="AG120">
        <v>1</v>
      </c>
    </row>
    <row r="121" spans="1:32">
      <c r="A121" s="67">
        <v>120</v>
      </c>
      <c r="B121" s="115">
        <v>7.3</v>
      </c>
      <c r="C121" s="5"/>
      <c r="D121" s="110">
        <v>299</v>
      </c>
      <c r="E121" s="5"/>
      <c r="F121" s="110"/>
      <c r="G121" s="122" t="s">
        <v>279</v>
      </c>
      <c r="H121" s="84"/>
      <c r="I121" s="84"/>
      <c r="J121" s="84"/>
      <c r="K121" s="84"/>
      <c r="L121" s="5"/>
      <c r="M121" s="5"/>
      <c r="N121" s="5"/>
      <c r="O121" s="5"/>
      <c r="P121" s="5"/>
      <c r="Q121" s="5"/>
      <c r="R121" s="5"/>
      <c r="AF121">
        <v>0</v>
      </c>
    </row>
    <row r="122" spans="1:33">
      <c r="A122" s="67">
        <v>121</v>
      </c>
      <c r="B122" s="5">
        <v>7.31</v>
      </c>
      <c r="C122" s="5"/>
      <c r="D122" s="110">
        <v>299</v>
      </c>
      <c r="E122" s="5"/>
      <c r="F122" s="110">
        <v>15637132817</v>
      </c>
      <c r="G122" s="122" t="s">
        <v>280</v>
      </c>
      <c r="H122" s="84"/>
      <c r="I122" s="84"/>
      <c r="J122" s="84"/>
      <c r="K122" s="84"/>
      <c r="L122" s="5"/>
      <c r="M122" s="5"/>
      <c r="N122" s="5"/>
      <c r="O122" s="5"/>
      <c r="P122" s="5"/>
      <c r="Q122" s="5"/>
      <c r="R122" s="5"/>
      <c r="AG122">
        <v>0</v>
      </c>
    </row>
    <row r="123" spans="1:43">
      <c r="A123" s="67">
        <v>122</v>
      </c>
      <c r="B123" s="5">
        <v>7.31</v>
      </c>
      <c r="C123" s="5"/>
      <c r="D123" s="110">
        <v>1980</v>
      </c>
      <c r="E123" s="5"/>
      <c r="F123" s="110">
        <v>8.18</v>
      </c>
      <c r="G123" s="122" t="s">
        <v>281</v>
      </c>
      <c r="H123" s="84"/>
      <c r="I123" s="84"/>
      <c r="J123" s="84"/>
      <c r="K123" s="84"/>
      <c r="L123" s="5"/>
      <c r="M123" s="5"/>
      <c r="N123" s="5"/>
      <c r="O123" s="5"/>
      <c r="P123" s="5"/>
      <c r="Q123" s="5"/>
      <c r="R123" s="5"/>
      <c r="AF123">
        <v>5</v>
      </c>
      <c r="AG123">
        <v>16</v>
      </c>
      <c r="AJ123">
        <v>4</v>
      </c>
      <c r="AQ123">
        <v>15</v>
      </c>
    </row>
    <row r="124" spans="1:33">
      <c r="A124" s="67">
        <v>123</v>
      </c>
      <c r="B124" s="5">
        <v>8.2</v>
      </c>
      <c r="C124" s="5"/>
      <c r="D124" s="110">
        <v>1000</v>
      </c>
      <c r="E124" s="5"/>
      <c r="F124" s="110">
        <v>15136198319</v>
      </c>
      <c r="G124" s="122" t="s">
        <v>282</v>
      </c>
      <c r="H124" s="84"/>
      <c r="I124" s="84"/>
      <c r="J124" s="84"/>
      <c r="K124" s="84"/>
      <c r="L124" s="5"/>
      <c r="M124" s="5"/>
      <c r="N124" s="5"/>
      <c r="O124" s="5"/>
      <c r="P124" s="5"/>
      <c r="Q124" s="5"/>
      <c r="R124" s="5"/>
      <c r="AF124">
        <v>4</v>
      </c>
      <c r="AG124">
        <v>5</v>
      </c>
    </row>
    <row r="125" spans="1:33">
      <c r="A125" s="67">
        <v>124</v>
      </c>
      <c r="B125" s="5">
        <v>8.5</v>
      </c>
      <c r="C125" s="5"/>
      <c r="D125" s="110">
        <v>299</v>
      </c>
      <c r="E125" s="5"/>
      <c r="F125" s="110"/>
      <c r="G125" s="122" t="s">
        <v>283</v>
      </c>
      <c r="H125" s="84"/>
      <c r="I125" s="84"/>
      <c r="J125" s="84"/>
      <c r="K125" s="84"/>
      <c r="L125" s="5"/>
      <c r="M125" s="5"/>
      <c r="N125" s="5"/>
      <c r="O125" s="5"/>
      <c r="P125" s="5"/>
      <c r="Q125" s="5"/>
      <c r="R125" s="5"/>
      <c r="AG125">
        <v>2</v>
      </c>
    </row>
    <row r="126" spans="1:33">
      <c r="A126" s="67">
        <v>125</v>
      </c>
      <c r="B126" s="5"/>
      <c r="C126" s="5"/>
      <c r="D126" s="110">
        <v>1000</v>
      </c>
      <c r="E126" s="5"/>
      <c r="F126" s="110">
        <v>15290888877</v>
      </c>
      <c r="G126" s="122" t="s">
        <v>284</v>
      </c>
      <c r="H126" s="84"/>
      <c r="I126" s="84"/>
      <c r="J126" s="84"/>
      <c r="K126" s="84"/>
      <c r="L126" s="5"/>
      <c r="M126" s="5"/>
      <c r="N126" s="5"/>
      <c r="O126" s="5"/>
      <c r="P126" s="5"/>
      <c r="Q126" s="5"/>
      <c r="R126" s="5"/>
      <c r="AF126">
        <v>8</v>
      </c>
      <c r="AG126">
        <v>8</v>
      </c>
    </row>
    <row r="127" spans="1:43">
      <c r="A127" s="67">
        <v>126</v>
      </c>
      <c r="B127" s="5">
        <v>8.1</v>
      </c>
      <c r="C127" s="5"/>
      <c r="D127" s="110">
        <v>299</v>
      </c>
      <c r="E127" s="5"/>
      <c r="F127" s="110"/>
      <c r="G127" s="122" t="s">
        <v>285</v>
      </c>
      <c r="H127" s="84"/>
      <c r="I127" s="84"/>
      <c r="J127" s="84"/>
      <c r="K127" s="84"/>
      <c r="L127" s="5"/>
      <c r="M127" s="5"/>
      <c r="N127" s="5"/>
      <c r="O127" s="5"/>
      <c r="P127" s="5"/>
      <c r="Q127" s="5"/>
      <c r="R127" s="5"/>
      <c r="AQ127">
        <v>1</v>
      </c>
    </row>
    <row r="128" spans="1:34">
      <c r="A128" s="67">
        <v>127</v>
      </c>
      <c r="B128" s="5"/>
      <c r="C128" s="5"/>
      <c r="D128" s="110">
        <v>920</v>
      </c>
      <c r="E128" s="5"/>
      <c r="F128" s="110"/>
      <c r="G128" s="122" t="s">
        <v>286</v>
      </c>
      <c r="H128" s="84"/>
      <c r="I128" s="84"/>
      <c r="J128" s="84"/>
      <c r="K128" s="84"/>
      <c r="L128" s="5"/>
      <c r="M128" s="5"/>
      <c r="N128" s="5"/>
      <c r="O128" s="5"/>
      <c r="P128" s="5"/>
      <c r="Q128" s="5"/>
      <c r="R128" s="5"/>
      <c r="AG128">
        <v>7</v>
      </c>
      <c r="AH128">
        <v>4</v>
      </c>
    </row>
    <row r="129" spans="1:33">
      <c r="A129" s="67">
        <v>128</v>
      </c>
      <c r="B129" s="5">
        <v>8.1</v>
      </c>
      <c r="C129" s="5"/>
      <c r="D129" s="110">
        <v>299</v>
      </c>
      <c r="E129" s="5"/>
      <c r="F129" s="110">
        <v>15226189387</v>
      </c>
      <c r="G129" s="122" t="s">
        <v>86</v>
      </c>
      <c r="H129" s="84"/>
      <c r="I129" s="84"/>
      <c r="J129" s="84"/>
      <c r="K129" s="84"/>
      <c r="L129" s="5"/>
      <c r="M129" s="5"/>
      <c r="N129" s="5"/>
      <c r="O129" s="5"/>
      <c r="P129" s="5"/>
      <c r="Q129" s="5"/>
      <c r="R129" s="5"/>
      <c r="AG129">
        <v>0</v>
      </c>
    </row>
    <row r="130" spans="1:43">
      <c r="A130" s="67">
        <v>129</v>
      </c>
      <c r="B130" s="5">
        <v>8.11</v>
      </c>
      <c r="C130" s="5"/>
      <c r="D130" s="110">
        <v>299</v>
      </c>
      <c r="E130" s="5"/>
      <c r="F130" s="110">
        <v>13027692343</v>
      </c>
      <c r="G130" s="122" t="s">
        <v>287</v>
      </c>
      <c r="H130" s="84"/>
      <c r="I130" s="84"/>
      <c r="J130" s="84"/>
      <c r="K130" s="84"/>
      <c r="L130" s="5"/>
      <c r="M130" s="5"/>
      <c r="N130" s="5"/>
      <c r="O130" s="5"/>
      <c r="P130" s="5"/>
      <c r="Q130" s="5"/>
      <c r="R130" s="5"/>
      <c r="AG130">
        <v>1</v>
      </c>
      <c r="AQ130">
        <v>1</v>
      </c>
    </row>
    <row r="131" spans="1:43">
      <c r="A131" s="67">
        <v>130</v>
      </c>
      <c r="B131" s="5"/>
      <c r="C131" s="5"/>
      <c r="D131" s="110">
        <v>299</v>
      </c>
      <c r="E131" s="5"/>
      <c r="F131" s="110"/>
      <c r="G131" s="122" t="s">
        <v>288</v>
      </c>
      <c r="H131" s="84"/>
      <c r="I131" s="84"/>
      <c r="J131" s="84"/>
      <c r="K131" s="84"/>
      <c r="L131" s="5"/>
      <c r="M131" s="5"/>
      <c r="N131" s="5"/>
      <c r="O131" s="5"/>
      <c r="P131" s="5"/>
      <c r="Q131" s="5"/>
      <c r="R131" s="5"/>
      <c r="AF131">
        <v>1</v>
      </c>
      <c r="AQ131">
        <v>1</v>
      </c>
    </row>
    <row r="132" spans="1:33">
      <c r="A132" s="67">
        <v>131</v>
      </c>
      <c r="B132" s="5">
        <v>8.13</v>
      </c>
      <c r="C132" s="5"/>
      <c r="D132" s="110">
        <v>299</v>
      </c>
      <c r="E132" s="5"/>
      <c r="F132" s="110">
        <v>15617731900</v>
      </c>
      <c r="G132" s="122" t="s">
        <v>289</v>
      </c>
      <c r="H132" s="84"/>
      <c r="I132" s="84"/>
      <c r="J132" s="84"/>
      <c r="K132" s="84"/>
      <c r="L132" s="5"/>
      <c r="M132" s="5"/>
      <c r="N132" s="5"/>
      <c r="O132" s="5"/>
      <c r="P132" s="5"/>
      <c r="Q132" s="5"/>
      <c r="R132" s="5"/>
      <c r="AG132">
        <v>3</v>
      </c>
    </row>
    <row r="133" spans="1:32">
      <c r="A133" s="67">
        <v>132</v>
      </c>
      <c r="B133" s="5"/>
      <c r="C133" s="5"/>
      <c r="D133" s="5">
        <v>299</v>
      </c>
      <c r="E133" s="5"/>
      <c r="F133" s="5">
        <v>17537286562</v>
      </c>
      <c r="G133" s="122" t="s">
        <v>290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AF133">
        <v>0</v>
      </c>
    </row>
    <row r="134" spans="1:32">
      <c r="A134" s="67">
        <v>133</v>
      </c>
      <c r="B134" s="5"/>
      <c r="C134" s="5"/>
      <c r="D134" s="5">
        <v>299</v>
      </c>
      <c r="E134" s="5"/>
      <c r="F134" s="5">
        <v>15514868542</v>
      </c>
      <c r="G134" s="122" t="s">
        <v>291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AF134">
        <v>0</v>
      </c>
    </row>
    <row r="135" spans="1:43">
      <c r="A135" s="67">
        <v>134</v>
      </c>
      <c r="B135" s="5">
        <v>8.17</v>
      </c>
      <c r="C135" s="5"/>
      <c r="D135" s="5">
        <v>698</v>
      </c>
      <c r="E135" s="5"/>
      <c r="F135" s="5">
        <v>18538451227</v>
      </c>
      <c r="G135" s="122" t="s">
        <v>99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AG135">
        <v>2</v>
      </c>
      <c r="AQ135">
        <v>3</v>
      </c>
    </row>
    <row r="136" spans="1:35">
      <c r="A136" s="67">
        <v>135</v>
      </c>
      <c r="B136" s="5">
        <v>8.19</v>
      </c>
      <c r="C136" s="5">
        <v>6.25</v>
      </c>
      <c r="D136" s="5">
        <v>1140</v>
      </c>
      <c r="E136" s="5"/>
      <c r="F136" s="5">
        <v>13383712725</v>
      </c>
      <c r="G136" s="122" t="s">
        <v>100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AF136">
        <v>4</v>
      </c>
      <c r="AG136">
        <v>5</v>
      </c>
      <c r="AI136">
        <v>8</v>
      </c>
    </row>
    <row r="137" spans="1:18">
      <c r="A137" s="67">
        <v>136</v>
      </c>
      <c r="B137" s="5"/>
      <c r="C137" s="5"/>
      <c r="D137" s="5">
        <v>1150</v>
      </c>
      <c r="E137" s="5"/>
      <c r="F137" s="5">
        <v>13140076160</v>
      </c>
      <c r="G137" s="122" t="s">
        <v>292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33">
      <c r="A138" s="67">
        <v>137</v>
      </c>
      <c r="B138" s="5">
        <v>8.26</v>
      </c>
      <c r="C138" s="5"/>
      <c r="D138" s="5">
        <v>299</v>
      </c>
      <c r="E138" s="5"/>
      <c r="F138" s="5"/>
      <c r="G138" s="122" t="s">
        <v>293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AC138"/>
      <c r="AG138">
        <v>4</v>
      </c>
    </row>
    <row r="139" spans="1:33">
      <c r="A139" s="67">
        <v>138</v>
      </c>
      <c r="B139" s="5">
        <v>8.29</v>
      </c>
      <c r="C139" s="5"/>
      <c r="D139" s="5">
        <v>299</v>
      </c>
      <c r="E139" s="5"/>
      <c r="F139" s="5"/>
      <c r="G139" s="122" t="s">
        <v>294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AC139"/>
      <c r="AG139">
        <v>0</v>
      </c>
    </row>
    <row r="140" spans="1:43">
      <c r="A140" s="67">
        <v>139</v>
      </c>
      <c r="B140" s="5">
        <v>8.31</v>
      </c>
      <c r="C140" s="5"/>
      <c r="D140" s="5">
        <v>299</v>
      </c>
      <c r="E140" s="5"/>
      <c r="F140" s="5">
        <v>13663804887</v>
      </c>
      <c r="G140" s="122" t="s">
        <v>70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AG140">
        <v>9</v>
      </c>
      <c r="AJ140">
        <v>9</v>
      </c>
      <c r="AP140">
        <v>10</v>
      </c>
      <c r="AQ140">
        <v>9</v>
      </c>
    </row>
    <row r="141" spans="1:33">
      <c r="A141" s="67">
        <v>140</v>
      </c>
      <c r="B141" s="5">
        <v>9.1</v>
      </c>
      <c r="C141" s="5"/>
      <c r="D141" s="5">
        <v>880</v>
      </c>
      <c r="E141" s="5"/>
      <c r="F141" s="5">
        <v>18623713821</v>
      </c>
      <c r="G141" s="122" t="s">
        <v>295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AF141">
        <v>11</v>
      </c>
      <c r="AG141">
        <v>0</v>
      </c>
    </row>
    <row r="142" spans="1:43">
      <c r="A142" s="67">
        <v>141</v>
      </c>
      <c r="B142" s="5">
        <v>9.1</v>
      </c>
      <c r="C142" s="5"/>
      <c r="D142" s="5">
        <v>299</v>
      </c>
      <c r="E142" s="5"/>
      <c r="F142" s="5"/>
      <c r="G142" s="122" t="s">
        <v>296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AF142">
        <v>9</v>
      </c>
      <c r="AG142">
        <v>1</v>
      </c>
      <c r="AQ142">
        <v>0</v>
      </c>
    </row>
    <row r="143" spans="1:32">
      <c r="A143" s="67">
        <v>142</v>
      </c>
      <c r="B143" s="5"/>
      <c r="C143" s="5"/>
      <c r="D143" s="5">
        <v>698</v>
      </c>
      <c r="E143" s="5"/>
      <c r="F143" s="5">
        <v>13273736595</v>
      </c>
      <c r="G143" s="122" t="s">
        <v>297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AF143">
        <v>6</v>
      </c>
    </row>
    <row r="144" spans="1:43">
      <c r="A144" s="67">
        <v>143</v>
      </c>
      <c r="B144" s="5"/>
      <c r="C144" s="5"/>
      <c r="D144" s="5">
        <v>1870</v>
      </c>
      <c r="E144" s="5"/>
      <c r="F144" s="5">
        <v>15617576589</v>
      </c>
      <c r="G144" s="122" t="s">
        <v>82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AN144">
        <v>6</v>
      </c>
      <c r="AQ144">
        <v>6</v>
      </c>
    </row>
    <row r="145" spans="1:37">
      <c r="A145" s="67">
        <v>144</v>
      </c>
      <c r="B145" s="5">
        <v>9.4</v>
      </c>
      <c r="C145" s="5"/>
      <c r="D145" s="5">
        <v>1280</v>
      </c>
      <c r="E145" s="5"/>
      <c r="F145" s="5">
        <v>18836918231</v>
      </c>
      <c r="G145" s="122" t="s">
        <v>298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AK145">
        <v>15</v>
      </c>
    </row>
    <row r="146" spans="1:43">
      <c r="A146" s="67">
        <v>145</v>
      </c>
      <c r="B146" s="5"/>
      <c r="C146" s="5"/>
      <c r="D146" s="5">
        <v>299</v>
      </c>
      <c r="E146" s="5"/>
      <c r="F146" s="5">
        <v>15893802362</v>
      </c>
      <c r="G146" s="122" t="s">
        <v>299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AF146">
        <v>7</v>
      </c>
      <c r="AG146">
        <v>7</v>
      </c>
      <c r="AQ146">
        <v>5</v>
      </c>
    </row>
    <row r="147" spans="1:43">
      <c r="A147" s="67">
        <v>146</v>
      </c>
      <c r="B147" s="5"/>
      <c r="C147" s="5"/>
      <c r="D147" s="5">
        <v>480</v>
      </c>
      <c r="E147" s="5"/>
      <c r="F147" s="5">
        <v>18595753808</v>
      </c>
      <c r="G147" s="122" t="s">
        <v>71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AG147">
        <v>1</v>
      </c>
      <c r="AQ147">
        <v>24</v>
      </c>
    </row>
    <row r="148" spans="1:35">
      <c r="A148" s="67">
        <v>147</v>
      </c>
      <c r="B148" s="5"/>
      <c r="C148" s="5"/>
      <c r="D148" s="71">
        <v>1980</v>
      </c>
      <c r="E148" s="5"/>
      <c r="F148" s="5"/>
      <c r="G148" s="79" t="s">
        <v>300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AF148">
        <v>14</v>
      </c>
      <c r="AG148">
        <v>12</v>
      </c>
      <c r="AI148">
        <v>9</v>
      </c>
    </row>
    <row r="149" spans="1:33">
      <c r="A149" s="67">
        <v>148</v>
      </c>
      <c r="B149" s="5"/>
      <c r="C149" s="5"/>
      <c r="D149" s="71">
        <v>500</v>
      </c>
      <c r="E149" s="5"/>
      <c r="F149" s="5"/>
      <c r="G149" s="79" t="s">
        <v>301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AF149">
        <v>4</v>
      </c>
      <c r="AG149">
        <v>1</v>
      </c>
    </row>
    <row r="150" spans="1:33">
      <c r="A150" s="67">
        <v>149</v>
      </c>
      <c r="B150" s="5"/>
      <c r="C150" s="5"/>
      <c r="D150" s="71">
        <v>299</v>
      </c>
      <c r="E150" s="5"/>
      <c r="F150" s="5"/>
      <c r="G150" s="79" t="s">
        <v>302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AF150" s="62">
        <v>1</v>
      </c>
      <c r="AG150" s="62"/>
    </row>
    <row r="151" spans="1:35">
      <c r="A151" s="67">
        <v>150</v>
      </c>
      <c r="B151" s="5"/>
      <c r="C151" s="5"/>
      <c r="D151" s="71">
        <v>299</v>
      </c>
      <c r="E151" s="5"/>
      <c r="F151" s="5"/>
      <c r="G151" s="79" t="s">
        <v>303</v>
      </c>
      <c r="H151" s="5" t="s">
        <v>304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AG151">
        <v>8</v>
      </c>
      <c r="AH151">
        <v>10</v>
      </c>
      <c r="AI151">
        <v>1</v>
      </c>
    </row>
    <row r="152" spans="1:44">
      <c r="A152" s="67">
        <v>151</v>
      </c>
      <c r="B152" s="5"/>
      <c r="C152" s="5"/>
      <c r="D152" s="127">
        <v>1280</v>
      </c>
      <c r="E152" s="5"/>
      <c r="F152" s="5"/>
      <c r="G152" s="127" t="s">
        <v>305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AR152">
        <v>1</v>
      </c>
    </row>
    <row r="153" spans="1:37">
      <c r="A153" s="67">
        <v>152</v>
      </c>
      <c r="B153" s="5"/>
      <c r="C153" s="5"/>
      <c r="D153" s="127">
        <v>980</v>
      </c>
      <c r="E153" s="5"/>
      <c r="F153" s="5"/>
      <c r="G153" s="127" t="s">
        <v>306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AF153">
        <v>6</v>
      </c>
      <c r="AG153">
        <v>5</v>
      </c>
      <c r="AK153">
        <v>7</v>
      </c>
    </row>
    <row r="154" spans="1:33">
      <c r="A154" s="67">
        <v>153</v>
      </c>
      <c r="B154" s="5"/>
      <c r="C154" s="5"/>
      <c r="D154" s="127">
        <v>980</v>
      </c>
      <c r="E154" s="5"/>
      <c r="F154" s="5"/>
      <c r="G154" s="127" t="s">
        <v>307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AG154">
        <v>6</v>
      </c>
    </row>
    <row r="155" spans="1:34">
      <c r="A155" s="67">
        <v>154</v>
      </c>
      <c r="B155" s="5"/>
      <c r="C155" s="5"/>
      <c r="D155" s="127">
        <v>980</v>
      </c>
      <c r="E155" s="5"/>
      <c r="F155" s="5"/>
      <c r="G155" s="127" t="s">
        <v>308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AG155">
        <v>7</v>
      </c>
      <c r="AH155">
        <v>8</v>
      </c>
    </row>
    <row r="156" spans="1:43">
      <c r="A156" s="67">
        <v>155</v>
      </c>
      <c r="B156" s="5"/>
      <c r="C156" s="5"/>
      <c r="D156" s="127">
        <v>299</v>
      </c>
      <c r="E156" s="5"/>
      <c r="F156" s="5"/>
      <c r="G156" s="127" t="s">
        <v>309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AG156">
        <v>2</v>
      </c>
      <c r="AQ156">
        <v>1</v>
      </c>
    </row>
    <row r="157" spans="1:33">
      <c r="A157" s="67">
        <v>156</v>
      </c>
      <c r="B157" s="5"/>
      <c r="C157" s="5"/>
      <c r="D157" s="127">
        <v>299</v>
      </c>
      <c r="E157" s="5"/>
      <c r="F157" s="5"/>
      <c r="G157" s="127" t="s">
        <v>44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AG157">
        <v>3</v>
      </c>
    </row>
    <row r="158" spans="1:43">
      <c r="A158" s="67">
        <v>157</v>
      </c>
      <c r="B158" s="5"/>
      <c r="C158" s="5"/>
      <c r="D158" s="127">
        <v>299</v>
      </c>
      <c r="E158" s="5"/>
      <c r="F158" s="5"/>
      <c r="G158" s="127" t="s">
        <v>45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AF158">
        <v>2</v>
      </c>
      <c r="AQ158">
        <v>1</v>
      </c>
    </row>
    <row r="159" spans="1:43">
      <c r="A159" s="67">
        <v>158</v>
      </c>
      <c r="B159" s="5"/>
      <c r="C159" s="5"/>
      <c r="D159" s="127">
        <v>640</v>
      </c>
      <c r="E159" s="5"/>
      <c r="F159" s="5"/>
      <c r="G159" s="127" t="s">
        <v>48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AQ159">
        <v>8</v>
      </c>
    </row>
    <row r="160" spans="1:43">
      <c r="A160" s="67">
        <v>159</v>
      </c>
      <c r="B160" s="5"/>
      <c r="C160" s="5"/>
      <c r="D160" s="127">
        <v>640</v>
      </c>
      <c r="E160" s="5"/>
      <c r="F160" s="5"/>
      <c r="G160" s="127" t="s">
        <v>310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AQ160">
        <v>10</v>
      </c>
    </row>
    <row r="161" spans="1:43">
      <c r="A161" s="67">
        <v>160</v>
      </c>
      <c r="B161" s="5"/>
      <c r="C161" s="5"/>
      <c r="D161" s="127">
        <v>299</v>
      </c>
      <c r="E161" s="5"/>
      <c r="F161" s="5"/>
      <c r="G161" s="127" t="s">
        <v>61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AF161">
        <v>1</v>
      </c>
      <c r="AQ161">
        <v>1</v>
      </c>
    </row>
    <row r="162" spans="1:43">
      <c r="A162" s="67">
        <v>161</v>
      </c>
      <c r="B162" s="5"/>
      <c r="C162" s="5"/>
      <c r="D162" s="127">
        <v>980</v>
      </c>
      <c r="E162" s="5"/>
      <c r="F162" s="5"/>
      <c r="G162" s="127" t="s">
        <v>63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AF162">
        <v>8</v>
      </c>
      <c r="AG162">
        <v>7</v>
      </c>
      <c r="AQ162">
        <v>9</v>
      </c>
    </row>
    <row r="163" spans="1:33">
      <c r="A163" s="67">
        <v>162</v>
      </c>
      <c r="B163" s="5"/>
      <c r="C163" s="5"/>
      <c r="D163" s="127">
        <v>299</v>
      </c>
      <c r="E163" s="5"/>
      <c r="F163" s="5"/>
      <c r="G163" s="127" t="s">
        <v>76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AG163">
        <v>3</v>
      </c>
    </row>
    <row r="164" spans="1:34">
      <c r="A164" s="67">
        <v>163</v>
      </c>
      <c r="B164" s="5"/>
      <c r="C164" s="5"/>
      <c r="D164" s="127">
        <v>980</v>
      </c>
      <c r="E164" s="5"/>
      <c r="F164" s="5"/>
      <c r="G164" s="127" t="s">
        <v>74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AG164">
        <v>5</v>
      </c>
      <c r="AH164">
        <v>7</v>
      </c>
    </row>
    <row r="165" spans="1:43">
      <c r="A165" s="67">
        <v>164</v>
      </c>
      <c r="B165" s="5"/>
      <c r="C165" s="5"/>
      <c r="D165" s="5"/>
      <c r="E165" s="5"/>
      <c r="F165" s="5"/>
      <c r="G165" s="5" t="s">
        <v>90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AG165">
        <v>2</v>
      </c>
      <c r="AQ165">
        <v>1</v>
      </c>
    </row>
    <row r="166" spans="1:33">
      <c r="A166" s="67">
        <v>165</v>
      </c>
      <c r="B166" s="5"/>
      <c r="C166" s="5"/>
      <c r="D166" s="5"/>
      <c r="E166" s="5"/>
      <c r="F166" s="5"/>
      <c r="G166" s="5" t="s">
        <v>311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AG166">
        <v>2</v>
      </c>
    </row>
    <row r="167" spans="1:46">
      <c r="A167" s="67">
        <v>166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AF167">
        <f>SUM(AF5:AF166)</f>
        <v>439</v>
      </c>
      <c r="AG167">
        <f t="shared" ref="AG167:AT167" si="1">SUM(AG5:AG166)</f>
        <v>527</v>
      </c>
      <c r="AH167">
        <f t="shared" si="1"/>
        <v>105</v>
      </c>
      <c r="AI167">
        <f t="shared" si="1"/>
        <v>98</v>
      </c>
      <c r="AJ167">
        <f t="shared" si="1"/>
        <v>17</v>
      </c>
      <c r="AK167">
        <f t="shared" si="1"/>
        <v>149</v>
      </c>
      <c r="AL167">
        <f t="shared" si="1"/>
        <v>17</v>
      </c>
      <c r="AM167">
        <f t="shared" si="1"/>
        <v>63</v>
      </c>
      <c r="AN167">
        <f t="shared" si="1"/>
        <v>25</v>
      </c>
      <c r="AO167">
        <f t="shared" si="1"/>
        <v>64</v>
      </c>
      <c r="AP167">
        <f t="shared" si="1"/>
        <v>31</v>
      </c>
      <c r="AQ167">
        <f t="shared" si="1"/>
        <v>251</v>
      </c>
      <c r="AR167">
        <f t="shared" si="1"/>
        <v>17</v>
      </c>
      <c r="AS167">
        <f t="shared" si="1"/>
        <v>79</v>
      </c>
      <c r="AT167">
        <f t="shared" si="1"/>
        <v>12</v>
      </c>
    </row>
    <row r="168" spans="1:46">
      <c r="A168" s="67">
        <v>167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AF168">
        <f>AF167/10</f>
        <v>43.9</v>
      </c>
      <c r="AG168">
        <f t="shared" ref="AG168:AT168" si="2">AG167/10</f>
        <v>52.7</v>
      </c>
      <c r="AH168">
        <f t="shared" si="2"/>
        <v>10.5</v>
      </c>
      <c r="AI168">
        <f t="shared" si="2"/>
        <v>9.8</v>
      </c>
      <c r="AJ168">
        <f t="shared" si="2"/>
        <v>1.7</v>
      </c>
      <c r="AK168">
        <f t="shared" si="2"/>
        <v>14.9</v>
      </c>
      <c r="AL168">
        <f t="shared" si="2"/>
        <v>1.7</v>
      </c>
      <c r="AM168">
        <f t="shared" si="2"/>
        <v>6.3</v>
      </c>
      <c r="AN168">
        <f t="shared" si="2"/>
        <v>2.5</v>
      </c>
      <c r="AO168">
        <f t="shared" si="2"/>
        <v>6.4</v>
      </c>
      <c r="AP168">
        <f t="shared" si="2"/>
        <v>3.1</v>
      </c>
      <c r="AQ168">
        <f>AQ167/8</f>
        <v>31.375</v>
      </c>
      <c r="AR168">
        <f t="shared" si="2"/>
        <v>1.7</v>
      </c>
      <c r="AS168">
        <f t="shared" si="2"/>
        <v>7.9</v>
      </c>
      <c r="AT168">
        <f t="shared" si="2"/>
        <v>1.2</v>
      </c>
    </row>
    <row r="169" spans="1:18">
      <c r="A169" s="67">
        <v>168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67">
        <v>169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67">
        <v>170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67">
        <v>171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67">
        <v>172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67">
        <v>173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67">
        <v>174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67">
        <v>175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67">
        <v>176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67">
        <v>177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67">
        <v>178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67">
        <v>179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67">
        <v>180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67">
        <v>181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67">
        <v>182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3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3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3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3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3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3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3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3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3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3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3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3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3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3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3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3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</sheetData>
  <mergeCells count="15">
    <mergeCell ref="A1:AE1"/>
    <mergeCell ref="H2:R2"/>
    <mergeCell ref="S2:V2"/>
    <mergeCell ref="X2:AB2"/>
    <mergeCell ref="H3:R3"/>
    <mergeCell ref="A2:A3"/>
    <mergeCell ref="B2:B3"/>
    <mergeCell ref="C2:C3"/>
    <mergeCell ref="D2:D3"/>
    <mergeCell ref="E2:E3"/>
    <mergeCell ref="F2:F3"/>
    <mergeCell ref="G2:G3"/>
    <mergeCell ref="AC2:AC3"/>
    <mergeCell ref="AD2:AD3"/>
    <mergeCell ref="AE2:AE3"/>
  </mergeCells>
  <pageMargins left="0.251388888888889" right="0.251388888888889" top="0.357638888888889" bottom="0.357638888888889" header="0.298611111111111" footer="0.298611111111111"/>
  <pageSetup paperSize="8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zoomScale="85" zoomScaleNormal="85" workbookViewId="0">
      <selection activeCell="I15" sqref="I15"/>
    </sheetView>
  </sheetViews>
  <sheetFormatPr defaultColWidth="9" defaultRowHeight="16.8"/>
  <cols>
    <col min="3" max="3" width="12.9423076923077" customWidth="1"/>
    <col min="9" max="9" width="14.2596153846154" customWidth="1"/>
    <col min="15" max="15" width="15.8846153846154" customWidth="1"/>
  </cols>
  <sheetData>
    <row r="1" ht="17" spans="1:26">
      <c r="A1" s="44" t="s">
        <v>312</v>
      </c>
      <c r="B1" s="45" t="s">
        <v>141</v>
      </c>
      <c r="C1" s="45" t="s">
        <v>313</v>
      </c>
      <c r="D1" s="45" t="s">
        <v>314</v>
      </c>
      <c r="E1" s="45" t="s">
        <v>315</v>
      </c>
      <c r="F1" s="45" t="s">
        <v>132</v>
      </c>
      <c r="G1" s="51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18"/>
      <c r="Z1" s="18"/>
    </row>
    <row r="2" ht="34" spans="1:26">
      <c r="A2" s="44" t="s">
        <v>316</v>
      </c>
      <c r="B2" s="14"/>
      <c r="C2" s="14"/>
      <c r="D2" s="14"/>
      <c r="E2" s="14"/>
      <c r="F2" s="14"/>
      <c r="G2" s="51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18"/>
      <c r="Z2" s="18"/>
    </row>
    <row r="3" customFormat="1" spans="1:25">
      <c r="A3" s="46"/>
      <c r="B3" s="47"/>
      <c r="C3" s="47"/>
      <c r="D3" s="47"/>
      <c r="E3" s="53"/>
      <c r="F3" s="53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18"/>
      <c r="Y3" s="18"/>
    </row>
    <row r="4" customFormat="1" spans="1:25">
      <c r="A4" s="48"/>
      <c r="B4" s="49"/>
      <c r="C4" s="49"/>
      <c r="D4" s="49"/>
      <c r="E4" s="53"/>
      <c r="F4" s="54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2"/>
      <c r="T4" s="52"/>
      <c r="U4" s="55"/>
      <c r="V4" s="55"/>
      <c r="W4" s="55"/>
      <c r="X4" s="18"/>
      <c r="Y4" s="18"/>
    </row>
    <row r="5" ht="20" customHeight="1" spans="1:25">
      <c r="A5" s="50" t="s">
        <v>317</v>
      </c>
      <c r="B5" s="50"/>
      <c r="C5" s="50"/>
      <c r="D5" s="50"/>
      <c r="E5" s="50"/>
      <c r="F5" s="56"/>
      <c r="G5" s="50" t="s">
        <v>318</v>
      </c>
      <c r="H5" s="50"/>
      <c r="I5" s="50"/>
      <c r="J5" s="50"/>
      <c r="K5" s="50"/>
      <c r="L5" s="57"/>
      <c r="M5" s="50" t="s">
        <v>319</v>
      </c>
      <c r="N5" s="50"/>
      <c r="O5" s="50"/>
      <c r="P5" s="50"/>
      <c r="Q5" s="50"/>
      <c r="R5" s="57"/>
      <c r="S5" s="52"/>
      <c r="T5" s="52"/>
      <c r="U5" s="55"/>
      <c r="V5" s="55"/>
      <c r="W5" s="55"/>
      <c r="X5" s="18"/>
      <c r="Y5" s="18"/>
    </row>
    <row r="6" ht="21" customHeight="1" spans="1:25">
      <c r="A6" s="50" t="s">
        <v>3</v>
      </c>
      <c r="B6" s="50" t="s">
        <v>35</v>
      </c>
      <c r="C6" s="50" t="s">
        <v>320</v>
      </c>
      <c r="D6" s="50" t="s">
        <v>321</v>
      </c>
      <c r="E6" s="50" t="s">
        <v>322</v>
      </c>
      <c r="F6" s="56"/>
      <c r="G6" s="50" t="s">
        <v>3</v>
      </c>
      <c r="H6" s="50" t="s">
        <v>35</v>
      </c>
      <c r="I6" s="50" t="s">
        <v>320</v>
      </c>
      <c r="J6" s="50" t="s">
        <v>321</v>
      </c>
      <c r="K6" s="50" t="s">
        <v>322</v>
      </c>
      <c r="L6" s="58"/>
      <c r="M6" s="50" t="s">
        <v>3</v>
      </c>
      <c r="N6" s="50" t="s">
        <v>35</v>
      </c>
      <c r="O6" s="50" t="s">
        <v>320</v>
      </c>
      <c r="P6" s="50" t="s">
        <v>321</v>
      </c>
      <c r="Q6" s="50" t="s">
        <v>322</v>
      </c>
      <c r="R6" s="58"/>
      <c r="S6" s="59"/>
      <c r="T6" s="59"/>
      <c r="U6" s="58"/>
      <c r="V6" s="58"/>
      <c r="W6" s="58"/>
      <c r="X6" s="18"/>
      <c r="Y6" s="18"/>
    </row>
    <row r="10" spans="13:13">
      <c r="M10" s="5"/>
    </row>
  </sheetData>
  <mergeCells count="3">
    <mergeCell ref="A5:D5"/>
    <mergeCell ref="G5:K5"/>
    <mergeCell ref="M5:Q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6"/>
  <sheetViews>
    <sheetView topLeftCell="X1" workbookViewId="0">
      <pane ySplit="7" topLeftCell="A8" activePane="bottomLeft" state="frozen"/>
      <selection/>
      <selection pane="bottomLeft" activeCell="A2" sqref="A2:BY7"/>
    </sheetView>
  </sheetViews>
  <sheetFormatPr defaultColWidth="9" defaultRowHeight="16.8"/>
  <cols>
    <col min="1" max="1" width="8.5" style="15" customWidth="1"/>
    <col min="2" max="2" width="3.5" customWidth="1"/>
    <col min="3" max="5" width="3.63461538461538" style="15" customWidth="1"/>
    <col min="6" max="8" width="3.63461538461538" style="19" customWidth="1"/>
    <col min="9" max="11" width="3.63461538461538" style="15" customWidth="1"/>
    <col min="12" max="14" width="3.63461538461538" style="19" customWidth="1"/>
    <col min="15" max="15" width="4.13461538461539" style="20" customWidth="1"/>
    <col min="16" max="16" width="4.25" style="20" customWidth="1"/>
    <col min="17" max="18" width="5.13461538461539" style="20" customWidth="1"/>
    <col min="19" max="19" width="5.5" style="20" customWidth="1"/>
    <col min="20" max="23" width="3.63461538461538" style="15" customWidth="1"/>
    <col min="24" max="27" width="3.63461538461538" style="19" customWidth="1"/>
    <col min="28" max="31" width="3.63461538461538" style="15" customWidth="1"/>
    <col min="32" max="35" width="3.63461538461538" style="19" customWidth="1"/>
    <col min="36" max="39" width="3.63461538461538" style="15" customWidth="1"/>
    <col min="40" max="43" width="3.63461538461538" style="19" customWidth="1"/>
    <col min="44" max="47" width="3.63461538461538" style="15" customWidth="1"/>
    <col min="48" max="51" width="3.63461538461538" style="19" customWidth="1"/>
    <col min="52" max="57" width="4.63461538461539" style="15" customWidth="1"/>
    <col min="58" max="58" width="5" style="15" customWidth="1"/>
    <col min="59" max="59" width="5.13461538461539" style="15" customWidth="1"/>
    <col min="60" max="60" width="6.5" style="15" customWidth="1"/>
    <col min="61" max="77" width="4.63461538461539" style="15" customWidth="1"/>
  </cols>
  <sheetData>
    <row r="1" spans="1:6">
      <c r="A1" s="15" t="s">
        <v>323</v>
      </c>
      <c r="B1" s="15"/>
      <c r="F1" s="15"/>
    </row>
    <row r="2" s="8" customFormat="1" ht="19" customHeight="1" spans="1:77">
      <c r="A2" s="21" t="s">
        <v>3</v>
      </c>
      <c r="B2" s="22" t="s">
        <v>324</v>
      </c>
      <c r="C2" s="22" t="s">
        <v>325</v>
      </c>
      <c r="D2" s="22"/>
      <c r="E2" s="22"/>
      <c r="F2" s="22" t="s">
        <v>326</v>
      </c>
      <c r="G2" s="22"/>
      <c r="H2" s="22"/>
      <c r="I2" s="22" t="s">
        <v>327</v>
      </c>
      <c r="J2" s="22"/>
      <c r="K2" s="22"/>
      <c r="L2" s="22" t="s">
        <v>328</v>
      </c>
      <c r="M2" s="22"/>
      <c r="N2" s="22"/>
      <c r="O2" s="22" t="s">
        <v>329</v>
      </c>
      <c r="P2" s="22" t="s">
        <v>330</v>
      </c>
      <c r="Q2" s="22" t="s">
        <v>331</v>
      </c>
      <c r="R2" s="22" t="s">
        <v>133</v>
      </c>
      <c r="S2" s="22" t="s">
        <v>332</v>
      </c>
      <c r="T2" s="22" t="s">
        <v>333</v>
      </c>
      <c r="U2" s="22"/>
      <c r="V2" s="22"/>
      <c r="W2" s="22"/>
      <c r="X2" s="22" t="s">
        <v>334</v>
      </c>
      <c r="Y2" s="22"/>
      <c r="Z2" s="22"/>
      <c r="AA2" s="22"/>
      <c r="AB2" s="22" t="s">
        <v>335</v>
      </c>
      <c r="AC2" s="22"/>
      <c r="AD2" s="22"/>
      <c r="AE2" s="22"/>
      <c r="AF2" s="22" t="s">
        <v>336</v>
      </c>
      <c r="AG2" s="22"/>
      <c r="AH2" s="22"/>
      <c r="AI2" s="22"/>
      <c r="AJ2" s="22" t="s">
        <v>337</v>
      </c>
      <c r="AK2" s="22"/>
      <c r="AL2" s="22"/>
      <c r="AM2" s="22"/>
      <c r="AN2" s="22" t="s">
        <v>338</v>
      </c>
      <c r="AO2" s="22"/>
      <c r="AP2" s="22"/>
      <c r="AQ2" s="22"/>
      <c r="AR2" s="22" t="s">
        <v>339</v>
      </c>
      <c r="AS2" s="22"/>
      <c r="AT2" s="22"/>
      <c r="AU2" s="22"/>
      <c r="AV2" s="22" t="s">
        <v>340</v>
      </c>
      <c r="AW2" s="22"/>
      <c r="AX2" s="22"/>
      <c r="AY2" s="22"/>
      <c r="AZ2" s="22" t="s">
        <v>341</v>
      </c>
      <c r="BA2" s="22"/>
      <c r="BB2" s="22"/>
      <c r="BC2" s="22"/>
      <c r="BD2" s="22"/>
      <c r="BE2" s="22"/>
      <c r="BF2" s="36" t="s">
        <v>342</v>
      </c>
      <c r="BG2" s="36" t="s">
        <v>343</v>
      </c>
      <c r="BH2" s="37"/>
      <c r="BI2" s="22" t="s">
        <v>344</v>
      </c>
      <c r="BJ2" s="22"/>
      <c r="BK2" s="22"/>
      <c r="BL2" s="22"/>
      <c r="BM2" s="37" t="s">
        <v>220</v>
      </c>
      <c r="BN2" s="36" t="s">
        <v>345</v>
      </c>
      <c r="BO2" s="22" t="s">
        <v>346</v>
      </c>
      <c r="BP2" s="22"/>
      <c r="BQ2" s="22"/>
      <c r="BR2" s="41" t="s">
        <v>347</v>
      </c>
      <c r="BS2" s="41" t="s">
        <v>348</v>
      </c>
      <c r="BT2" s="22" t="s">
        <v>349</v>
      </c>
      <c r="BU2" s="22"/>
      <c r="BV2" s="22"/>
      <c r="BW2" s="22"/>
      <c r="BX2" s="22"/>
      <c r="BY2" s="22"/>
    </row>
    <row r="3" customFormat="1" ht="19" customHeight="1" spans="1:77">
      <c r="A3" s="23"/>
      <c r="B3" s="24"/>
      <c r="C3" s="22" t="s">
        <v>350</v>
      </c>
      <c r="D3" s="22" t="s">
        <v>351</v>
      </c>
      <c r="E3" s="22" t="s">
        <v>352</v>
      </c>
      <c r="F3" s="22" t="s">
        <v>350</v>
      </c>
      <c r="G3" s="22" t="s">
        <v>351</v>
      </c>
      <c r="H3" s="22" t="s">
        <v>352</v>
      </c>
      <c r="I3" s="22" t="s">
        <v>350</v>
      </c>
      <c r="J3" s="22" t="s">
        <v>351</v>
      </c>
      <c r="K3" s="22" t="s">
        <v>352</v>
      </c>
      <c r="L3" s="22" t="s">
        <v>350</v>
      </c>
      <c r="M3" s="22" t="s">
        <v>351</v>
      </c>
      <c r="N3" s="22" t="s">
        <v>352</v>
      </c>
      <c r="O3" s="33"/>
      <c r="P3" s="33"/>
      <c r="Q3" s="33"/>
      <c r="R3" s="33"/>
      <c r="S3" s="33"/>
      <c r="T3" s="33" t="s">
        <v>353</v>
      </c>
      <c r="U3" s="33" t="s">
        <v>354</v>
      </c>
      <c r="V3" s="33" t="s">
        <v>355</v>
      </c>
      <c r="W3" s="33" t="s">
        <v>356</v>
      </c>
      <c r="X3" s="33" t="s">
        <v>353</v>
      </c>
      <c r="Y3" s="33" t="s">
        <v>354</v>
      </c>
      <c r="Z3" s="33" t="s">
        <v>355</v>
      </c>
      <c r="AA3" s="33" t="s">
        <v>356</v>
      </c>
      <c r="AB3" s="33" t="s">
        <v>353</v>
      </c>
      <c r="AC3" s="33" t="s">
        <v>354</v>
      </c>
      <c r="AD3" s="33" t="s">
        <v>355</v>
      </c>
      <c r="AE3" s="33" t="s">
        <v>356</v>
      </c>
      <c r="AF3" s="33" t="s">
        <v>353</v>
      </c>
      <c r="AG3" s="33" t="s">
        <v>354</v>
      </c>
      <c r="AH3" s="33" t="s">
        <v>355</v>
      </c>
      <c r="AI3" s="33" t="s">
        <v>356</v>
      </c>
      <c r="AJ3" s="33" t="s">
        <v>353</v>
      </c>
      <c r="AK3" s="33" t="s">
        <v>354</v>
      </c>
      <c r="AL3" s="33" t="s">
        <v>355</v>
      </c>
      <c r="AM3" s="33" t="s">
        <v>356</v>
      </c>
      <c r="AN3" s="33" t="s">
        <v>353</v>
      </c>
      <c r="AO3" s="33" t="s">
        <v>354</v>
      </c>
      <c r="AP3" s="33" t="s">
        <v>355</v>
      </c>
      <c r="AQ3" s="33" t="s">
        <v>356</v>
      </c>
      <c r="AR3" s="33" t="s">
        <v>353</v>
      </c>
      <c r="AS3" s="33" t="s">
        <v>354</v>
      </c>
      <c r="AT3" s="33" t="s">
        <v>355</v>
      </c>
      <c r="AU3" s="33" t="s">
        <v>356</v>
      </c>
      <c r="AV3" s="33" t="s">
        <v>353</v>
      </c>
      <c r="AW3" s="33" t="s">
        <v>354</v>
      </c>
      <c r="AX3" s="33" t="s">
        <v>355</v>
      </c>
      <c r="AY3" s="33" t="s">
        <v>356</v>
      </c>
      <c r="AZ3" s="33" t="s">
        <v>357</v>
      </c>
      <c r="BA3" s="33" t="s">
        <v>358</v>
      </c>
      <c r="BB3" s="33" t="s">
        <v>359</v>
      </c>
      <c r="BC3" s="33" t="s">
        <v>360</v>
      </c>
      <c r="BD3" s="33" t="s">
        <v>361</v>
      </c>
      <c r="BE3" s="33" t="s">
        <v>362</v>
      </c>
      <c r="BF3" s="38"/>
      <c r="BG3" s="38"/>
      <c r="BH3" s="33" t="s">
        <v>363</v>
      </c>
      <c r="BI3" s="33" t="s">
        <v>364</v>
      </c>
      <c r="BJ3" s="33" t="s">
        <v>365</v>
      </c>
      <c r="BK3" s="33" t="s">
        <v>366</v>
      </c>
      <c r="BL3" s="33" t="s">
        <v>367</v>
      </c>
      <c r="BM3" s="33" t="s">
        <v>356</v>
      </c>
      <c r="BN3" s="38"/>
      <c r="BO3" s="33" t="s">
        <v>368</v>
      </c>
      <c r="BP3" s="33" t="s">
        <v>369</v>
      </c>
      <c r="BQ3" s="33" t="s">
        <v>370</v>
      </c>
      <c r="BR3" s="42"/>
      <c r="BS3" s="42"/>
      <c r="BT3" s="33" t="s">
        <v>371</v>
      </c>
      <c r="BU3" s="33" t="s">
        <v>372</v>
      </c>
      <c r="BV3" s="33" t="s">
        <v>373</v>
      </c>
      <c r="BW3" s="33" t="s">
        <v>374</v>
      </c>
      <c r="BX3" s="33" t="s">
        <v>375</v>
      </c>
      <c r="BY3" s="33" t="s">
        <v>376</v>
      </c>
    </row>
    <row r="4" s="18" customFormat="1" ht="19" customHeight="1" spans="1:77">
      <c r="A4" s="25" t="s">
        <v>377</v>
      </c>
      <c r="B4" s="26">
        <f>-B3</f>
        <v>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9"/>
      <c r="BG4" s="39"/>
      <c r="BH4" s="34"/>
      <c r="BI4" s="34"/>
      <c r="BJ4" s="34"/>
      <c r="BK4" s="34"/>
      <c r="BL4" s="34"/>
      <c r="BM4" s="34"/>
      <c r="BN4" s="39"/>
      <c r="BO4" s="34"/>
      <c r="BP4" s="34"/>
      <c r="BQ4" s="34"/>
      <c r="BR4" s="43"/>
      <c r="BS4" s="43"/>
      <c r="BT4" s="34"/>
      <c r="BU4" s="34"/>
      <c r="BV4" s="34"/>
      <c r="BW4" s="34"/>
      <c r="BX4" s="34"/>
      <c r="BY4" s="34"/>
    </row>
    <row r="5" ht="18" customHeight="1" spans="1:77">
      <c r="A5" s="28" t="s">
        <v>378</v>
      </c>
      <c r="B5" s="29">
        <v>35</v>
      </c>
      <c r="C5" s="29">
        <v>-25.7</v>
      </c>
      <c r="D5" s="29">
        <v>7.5</v>
      </c>
      <c r="E5" s="29">
        <v>16.6</v>
      </c>
      <c r="F5" s="29">
        <v>34</v>
      </c>
      <c r="G5" s="29">
        <v>2</v>
      </c>
      <c r="H5" s="29">
        <v>4</v>
      </c>
      <c r="I5" s="29">
        <v>8</v>
      </c>
      <c r="J5" s="29">
        <v>3</v>
      </c>
      <c r="K5" s="29">
        <v>0</v>
      </c>
      <c r="L5" s="29">
        <v>8</v>
      </c>
      <c r="M5" s="29">
        <v>6</v>
      </c>
      <c r="N5" s="29">
        <v>7</v>
      </c>
      <c r="O5" s="35">
        <v>13</v>
      </c>
      <c r="P5" s="35">
        <v>10</v>
      </c>
      <c r="Q5" s="35">
        <v>6</v>
      </c>
      <c r="R5" s="35">
        <v>10</v>
      </c>
      <c r="S5" s="35"/>
      <c r="T5" s="29">
        <v>11</v>
      </c>
      <c r="U5" s="29">
        <v>15</v>
      </c>
      <c r="V5" s="29">
        <v>18</v>
      </c>
      <c r="W5" s="29">
        <v>11</v>
      </c>
      <c r="X5" s="29">
        <v>11</v>
      </c>
      <c r="Y5" s="29">
        <v>12</v>
      </c>
      <c r="Z5" s="29">
        <v>13</v>
      </c>
      <c r="AA5" s="29">
        <v>11</v>
      </c>
      <c r="AB5" s="29">
        <v>6</v>
      </c>
      <c r="AC5" s="29">
        <v>6</v>
      </c>
      <c r="AD5" s="29">
        <v>6</v>
      </c>
      <c r="AE5" s="29">
        <v>6</v>
      </c>
      <c r="AF5" s="29">
        <v>5</v>
      </c>
      <c r="AG5" s="29">
        <v>6</v>
      </c>
      <c r="AH5" s="29">
        <v>7</v>
      </c>
      <c r="AI5" s="29">
        <v>6</v>
      </c>
      <c r="AJ5" s="29">
        <v>3</v>
      </c>
      <c r="AK5" s="29">
        <v>10</v>
      </c>
      <c r="AL5" s="29">
        <v>4</v>
      </c>
      <c r="AM5" s="29">
        <v>5</v>
      </c>
      <c r="AN5" s="29">
        <v>1</v>
      </c>
      <c r="AO5" s="29">
        <v>0</v>
      </c>
      <c r="AP5" s="29">
        <v>2</v>
      </c>
      <c r="AQ5" s="29">
        <v>0</v>
      </c>
      <c r="AR5" s="29">
        <v>2</v>
      </c>
      <c r="AS5" s="29">
        <v>2</v>
      </c>
      <c r="AT5" s="29">
        <v>2</v>
      </c>
      <c r="AU5" s="29">
        <v>2</v>
      </c>
      <c r="AV5" s="29">
        <v>1</v>
      </c>
      <c r="AW5" s="29">
        <v>1</v>
      </c>
      <c r="AX5" s="29">
        <v>1</v>
      </c>
      <c r="AY5" s="29">
        <v>1</v>
      </c>
      <c r="AZ5" s="29">
        <f>14*3+2</f>
        <v>44</v>
      </c>
      <c r="BA5" s="29">
        <v>24</v>
      </c>
      <c r="BB5" s="29">
        <v>2</v>
      </c>
      <c r="BC5" s="29">
        <v>27</v>
      </c>
      <c r="BD5" s="29">
        <f>12+38</f>
        <v>50</v>
      </c>
      <c r="BE5" s="29">
        <v>29</v>
      </c>
      <c r="BF5" s="29">
        <v>13</v>
      </c>
      <c r="BG5" s="29">
        <v>8</v>
      </c>
      <c r="BH5" s="40">
        <v>10</v>
      </c>
      <c r="BI5" s="29">
        <v>5</v>
      </c>
      <c r="BJ5" s="29">
        <v>3</v>
      </c>
      <c r="BK5" s="29">
        <v>10</v>
      </c>
      <c r="BL5" s="29">
        <v>3</v>
      </c>
      <c r="BM5" s="29">
        <v>7</v>
      </c>
      <c r="BN5" s="29">
        <v>8</v>
      </c>
      <c r="BO5" s="29">
        <v>4</v>
      </c>
      <c r="BP5" s="29">
        <v>0</v>
      </c>
      <c r="BQ5" s="29">
        <v>0</v>
      </c>
      <c r="BR5" s="29">
        <v>2</v>
      </c>
      <c r="BS5" s="29">
        <f>2+19</f>
        <v>21</v>
      </c>
      <c r="BT5" s="29"/>
      <c r="BU5" s="29"/>
      <c r="BV5" s="29"/>
      <c r="BW5" s="29"/>
      <c r="BX5" s="29"/>
      <c r="BY5" s="29"/>
    </row>
    <row r="6" s="15" customFormat="1" ht="24" customHeight="1" spans="1:77">
      <c r="A6" s="15" t="s">
        <v>379</v>
      </c>
      <c r="B6" s="30">
        <f t="shared" ref="B6:R6" si="0">B5-B7</f>
        <v>35</v>
      </c>
      <c r="C6" s="30">
        <f t="shared" si="0"/>
        <v>-25.7</v>
      </c>
      <c r="D6" s="30">
        <f t="shared" si="0"/>
        <v>7.5</v>
      </c>
      <c r="E6" s="30">
        <f t="shared" si="0"/>
        <v>16.6</v>
      </c>
      <c r="F6" s="30">
        <f t="shared" si="0"/>
        <v>33</v>
      </c>
      <c r="G6" s="30">
        <f t="shared" si="0"/>
        <v>2</v>
      </c>
      <c r="H6" s="30">
        <f t="shared" si="0"/>
        <v>4</v>
      </c>
      <c r="I6" s="30">
        <f t="shared" si="0"/>
        <v>8</v>
      </c>
      <c r="J6" s="30">
        <f t="shared" si="0"/>
        <v>3</v>
      </c>
      <c r="K6" s="30">
        <f t="shared" si="0"/>
        <v>0</v>
      </c>
      <c r="L6" s="30">
        <f t="shared" si="0"/>
        <v>8</v>
      </c>
      <c r="M6" s="30">
        <f t="shared" si="0"/>
        <v>6</v>
      </c>
      <c r="N6" s="30">
        <f t="shared" si="0"/>
        <v>7</v>
      </c>
      <c r="O6" s="30">
        <f t="shared" si="0"/>
        <v>13</v>
      </c>
      <c r="P6" s="30">
        <f t="shared" si="0"/>
        <v>10</v>
      </c>
      <c r="Q6" s="30">
        <f t="shared" si="0"/>
        <v>6</v>
      </c>
      <c r="R6" s="30">
        <f t="shared" si="0"/>
        <v>10</v>
      </c>
      <c r="S6" s="30"/>
      <c r="T6" s="30">
        <f t="shared" ref="T6:BZ6" si="1">T5-T7</f>
        <v>11</v>
      </c>
      <c r="U6" s="30">
        <f t="shared" si="1"/>
        <v>14</v>
      </c>
      <c r="V6" s="30">
        <f t="shared" si="1"/>
        <v>17</v>
      </c>
      <c r="W6" s="30">
        <f t="shared" si="1"/>
        <v>10</v>
      </c>
      <c r="X6" s="30">
        <f t="shared" si="1"/>
        <v>9</v>
      </c>
      <c r="Y6" s="30">
        <f t="shared" si="1"/>
        <v>10</v>
      </c>
      <c r="Z6" s="30">
        <f t="shared" si="1"/>
        <v>11</v>
      </c>
      <c r="AA6" s="30">
        <f t="shared" si="1"/>
        <v>9</v>
      </c>
      <c r="AB6" s="30">
        <f t="shared" si="1"/>
        <v>6</v>
      </c>
      <c r="AC6" s="30">
        <f t="shared" si="1"/>
        <v>6</v>
      </c>
      <c r="AD6" s="30">
        <f t="shared" si="1"/>
        <v>6</v>
      </c>
      <c r="AE6" s="30">
        <f t="shared" si="1"/>
        <v>6</v>
      </c>
      <c r="AF6" s="30">
        <f t="shared" si="1"/>
        <v>5</v>
      </c>
      <c r="AG6" s="30">
        <f t="shared" si="1"/>
        <v>6</v>
      </c>
      <c r="AH6" s="30">
        <f t="shared" si="1"/>
        <v>7</v>
      </c>
      <c r="AI6" s="30">
        <f t="shared" si="1"/>
        <v>6</v>
      </c>
      <c r="AJ6" s="30">
        <f t="shared" si="1"/>
        <v>3</v>
      </c>
      <c r="AK6" s="30">
        <f t="shared" si="1"/>
        <v>10</v>
      </c>
      <c r="AL6" s="30">
        <f t="shared" si="1"/>
        <v>4</v>
      </c>
      <c r="AM6" s="30">
        <f t="shared" si="1"/>
        <v>5</v>
      </c>
      <c r="AN6" s="30">
        <f t="shared" si="1"/>
        <v>0</v>
      </c>
      <c r="AO6" s="30">
        <f t="shared" si="1"/>
        <v>0</v>
      </c>
      <c r="AP6" s="30">
        <v>2</v>
      </c>
      <c r="AQ6" s="30">
        <f t="shared" si="1"/>
        <v>0</v>
      </c>
      <c r="AR6" s="30">
        <f t="shared" si="1"/>
        <v>2</v>
      </c>
      <c r="AS6" s="30">
        <f t="shared" si="1"/>
        <v>2</v>
      </c>
      <c r="AT6" s="30">
        <f t="shared" si="1"/>
        <v>2</v>
      </c>
      <c r="AU6" s="30">
        <f t="shared" si="1"/>
        <v>2</v>
      </c>
      <c r="AV6" s="30">
        <f t="shared" si="1"/>
        <v>1</v>
      </c>
      <c r="AW6" s="30">
        <f t="shared" si="1"/>
        <v>1</v>
      </c>
      <c r="AX6" s="30">
        <f t="shared" si="1"/>
        <v>1</v>
      </c>
      <c r="AY6" s="30">
        <f t="shared" si="1"/>
        <v>1</v>
      </c>
      <c r="AZ6" s="30">
        <f t="shared" si="1"/>
        <v>33</v>
      </c>
      <c r="BA6" s="30">
        <f t="shared" si="1"/>
        <v>24</v>
      </c>
      <c r="BB6" s="30">
        <f t="shared" si="1"/>
        <v>2</v>
      </c>
      <c r="BC6" s="30">
        <f t="shared" si="1"/>
        <v>27</v>
      </c>
      <c r="BD6" s="30">
        <f t="shared" si="1"/>
        <v>50</v>
      </c>
      <c r="BE6" s="30">
        <f t="shared" si="1"/>
        <v>29</v>
      </c>
      <c r="BF6" s="30">
        <f t="shared" si="1"/>
        <v>12</v>
      </c>
      <c r="BG6" s="30">
        <f t="shared" si="1"/>
        <v>8</v>
      </c>
      <c r="BH6" s="30">
        <f t="shared" si="1"/>
        <v>7</v>
      </c>
      <c r="BI6" s="30">
        <f t="shared" si="1"/>
        <v>5</v>
      </c>
      <c r="BJ6" s="30">
        <f t="shared" si="1"/>
        <v>3</v>
      </c>
      <c r="BK6" s="30">
        <f t="shared" si="1"/>
        <v>10</v>
      </c>
      <c r="BL6" s="30">
        <f t="shared" si="1"/>
        <v>3</v>
      </c>
      <c r="BM6" s="30">
        <f t="shared" si="1"/>
        <v>7</v>
      </c>
      <c r="BN6" s="30">
        <f t="shared" si="1"/>
        <v>8</v>
      </c>
      <c r="BO6" s="30">
        <f t="shared" si="1"/>
        <v>4</v>
      </c>
      <c r="BP6" s="30">
        <f t="shared" si="1"/>
        <v>0</v>
      </c>
      <c r="BQ6" s="30">
        <f t="shared" si="1"/>
        <v>0</v>
      </c>
      <c r="BR6" s="30">
        <f t="shared" si="1"/>
        <v>2</v>
      </c>
      <c r="BS6" s="30">
        <f t="shared" si="1"/>
        <v>21</v>
      </c>
      <c r="BT6" s="30">
        <f t="shared" si="1"/>
        <v>0</v>
      </c>
      <c r="BU6" s="30">
        <f t="shared" si="1"/>
        <v>0</v>
      </c>
      <c r="BV6" s="30">
        <f t="shared" si="1"/>
        <v>0</v>
      </c>
      <c r="BW6" s="30">
        <f t="shared" si="1"/>
        <v>0</v>
      </c>
      <c r="BX6" s="30">
        <f t="shared" si="1"/>
        <v>0</v>
      </c>
      <c r="BY6" s="30">
        <f t="shared" si="1"/>
        <v>0</v>
      </c>
    </row>
    <row r="7" s="15" customFormat="1" spans="1:77">
      <c r="A7" s="15" t="s">
        <v>380</v>
      </c>
      <c r="B7" s="31">
        <f>SUM(B8:B302)</f>
        <v>0</v>
      </c>
      <c r="C7" s="31">
        <f t="shared" ref="C7:AH7" si="2">SUM(C8:C302)</f>
        <v>0</v>
      </c>
      <c r="D7" s="31">
        <f t="shared" si="2"/>
        <v>0</v>
      </c>
      <c r="E7" s="31">
        <f t="shared" si="2"/>
        <v>0</v>
      </c>
      <c r="F7" s="31">
        <f t="shared" si="2"/>
        <v>1</v>
      </c>
      <c r="G7" s="31">
        <f t="shared" si="2"/>
        <v>0</v>
      </c>
      <c r="H7" s="31">
        <f t="shared" si="2"/>
        <v>0</v>
      </c>
      <c r="I7" s="31">
        <f t="shared" si="2"/>
        <v>0</v>
      </c>
      <c r="J7" s="31">
        <f t="shared" si="2"/>
        <v>0</v>
      </c>
      <c r="K7" s="31">
        <f t="shared" si="2"/>
        <v>0</v>
      </c>
      <c r="L7" s="31">
        <f t="shared" si="2"/>
        <v>0</v>
      </c>
      <c r="M7" s="31">
        <f t="shared" si="2"/>
        <v>0</v>
      </c>
      <c r="N7" s="31">
        <f t="shared" si="2"/>
        <v>0</v>
      </c>
      <c r="O7" s="31">
        <f t="shared" si="2"/>
        <v>0</v>
      </c>
      <c r="P7" s="31">
        <f t="shared" si="2"/>
        <v>0</v>
      </c>
      <c r="Q7" s="31">
        <f t="shared" si="2"/>
        <v>0</v>
      </c>
      <c r="R7" s="31">
        <f t="shared" si="2"/>
        <v>0</v>
      </c>
      <c r="S7" s="31">
        <f t="shared" si="2"/>
        <v>0</v>
      </c>
      <c r="T7" s="31">
        <f t="shared" si="2"/>
        <v>0</v>
      </c>
      <c r="U7" s="31">
        <f t="shared" si="2"/>
        <v>1</v>
      </c>
      <c r="V7" s="31">
        <f t="shared" si="2"/>
        <v>1</v>
      </c>
      <c r="W7" s="31">
        <f t="shared" si="2"/>
        <v>1</v>
      </c>
      <c r="X7" s="31">
        <f t="shared" si="2"/>
        <v>2</v>
      </c>
      <c r="Y7" s="31">
        <f t="shared" si="2"/>
        <v>2</v>
      </c>
      <c r="Z7" s="31">
        <f t="shared" si="2"/>
        <v>2</v>
      </c>
      <c r="AA7" s="31">
        <f t="shared" si="2"/>
        <v>2</v>
      </c>
      <c r="AB7" s="31">
        <f t="shared" si="2"/>
        <v>0</v>
      </c>
      <c r="AC7" s="31">
        <f t="shared" si="2"/>
        <v>0</v>
      </c>
      <c r="AD7" s="31">
        <f t="shared" si="2"/>
        <v>0</v>
      </c>
      <c r="AE7" s="31">
        <f t="shared" si="2"/>
        <v>0</v>
      </c>
      <c r="AF7" s="31">
        <f t="shared" si="2"/>
        <v>0</v>
      </c>
      <c r="AG7" s="31">
        <f t="shared" si="2"/>
        <v>0</v>
      </c>
      <c r="AH7" s="31">
        <f t="shared" si="2"/>
        <v>0</v>
      </c>
      <c r="AI7" s="31">
        <f t="shared" ref="AI7:BZ7" si="3">SUM(AI8:AI302)</f>
        <v>0</v>
      </c>
      <c r="AJ7" s="31">
        <f t="shared" si="3"/>
        <v>0</v>
      </c>
      <c r="AK7" s="31">
        <f t="shared" si="3"/>
        <v>0</v>
      </c>
      <c r="AL7" s="31">
        <f t="shared" si="3"/>
        <v>0</v>
      </c>
      <c r="AM7" s="31">
        <f t="shared" si="3"/>
        <v>0</v>
      </c>
      <c r="AN7" s="31">
        <f t="shared" si="3"/>
        <v>1</v>
      </c>
      <c r="AO7" s="31">
        <f t="shared" si="3"/>
        <v>0</v>
      </c>
      <c r="AP7" s="31">
        <f t="shared" si="3"/>
        <v>0</v>
      </c>
      <c r="AQ7" s="31">
        <f t="shared" si="3"/>
        <v>0</v>
      </c>
      <c r="AR7" s="31">
        <f t="shared" si="3"/>
        <v>0</v>
      </c>
      <c r="AS7" s="31">
        <f t="shared" si="3"/>
        <v>0</v>
      </c>
      <c r="AT7" s="31">
        <f t="shared" si="3"/>
        <v>0</v>
      </c>
      <c r="AU7" s="31">
        <f t="shared" si="3"/>
        <v>0</v>
      </c>
      <c r="AV7" s="31">
        <f t="shared" si="3"/>
        <v>0</v>
      </c>
      <c r="AW7" s="31">
        <f t="shared" si="3"/>
        <v>0</v>
      </c>
      <c r="AX7" s="31">
        <f t="shared" si="3"/>
        <v>0</v>
      </c>
      <c r="AY7" s="31">
        <f t="shared" si="3"/>
        <v>0</v>
      </c>
      <c r="AZ7" s="31">
        <f t="shared" si="3"/>
        <v>11</v>
      </c>
      <c r="BA7" s="31">
        <f t="shared" si="3"/>
        <v>0</v>
      </c>
      <c r="BB7" s="31">
        <f t="shared" si="3"/>
        <v>0</v>
      </c>
      <c r="BC7" s="31">
        <f t="shared" si="3"/>
        <v>0</v>
      </c>
      <c r="BD7" s="31">
        <f t="shared" si="3"/>
        <v>0</v>
      </c>
      <c r="BE7" s="31">
        <f t="shared" si="3"/>
        <v>0</v>
      </c>
      <c r="BF7" s="31">
        <f t="shared" si="3"/>
        <v>1</v>
      </c>
      <c r="BG7" s="31">
        <f t="shared" si="3"/>
        <v>0</v>
      </c>
      <c r="BH7" s="31">
        <f t="shared" si="3"/>
        <v>3</v>
      </c>
      <c r="BI7" s="31">
        <f t="shared" si="3"/>
        <v>0</v>
      </c>
      <c r="BJ7" s="31">
        <f t="shared" si="3"/>
        <v>0</v>
      </c>
      <c r="BK7" s="31">
        <f t="shared" si="3"/>
        <v>0</v>
      </c>
      <c r="BL7" s="31">
        <f t="shared" si="3"/>
        <v>0</v>
      </c>
      <c r="BM7" s="31">
        <f t="shared" si="3"/>
        <v>0</v>
      </c>
      <c r="BN7" s="31">
        <f t="shared" si="3"/>
        <v>0</v>
      </c>
      <c r="BO7" s="31">
        <f t="shared" si="3"/>
        <v>0</v>
      </c>
      <c r="BP7" s="31">
        <f t="shared" si="3"/>
        <v>0</v>
      </c>
      <c r="BQ7" s="31">
        <f t="shared" si="3"/>
        <v>0</v>
      </c>
      <c r="BR7" s="31">
        <f t="shared" si="3"/>
        <v>0</v>
      </c>
      <c r="BS7" s="31">
        <f t="shared" si="3"/>
        <v>0</v>
      </c>
      <c r="BT7" s="31">
        <f t="shared" si="3"/>
        <v>0</v>
      </c>
      <c r="BU7" s="31">
        <f t="shared" si="3"/>
        <v>0</v>
      </c>
      <c r="BV7" s="31">
        <f t="shared" si="3"/>
        <v>0</v>
      </c>
      <c r="BW7" s="31">
        <f t="shared" si="3"/>
        <v>0</v>
      </c>
      <c r="BX7" s="31">
        <f t="shared" si="3"/>
        <v>0</v>
      </c>
      <c r="BY7" s="31">
        <f t="shared" si="3"/>
        <v>0</v>
      </c>
    </row>
    <row r="8" customFormat="1" spans="1:77">
      <c r="A8" s="32"/>
      <c r="C8" s="15"/>
      <c r="D8" s="15"/>
      <c r="E8" s="15"/>
      <c r="F8" s="19"/>
      <c r="G8" s="19"/>
      <c r="H8" s="19"/>
      <c r="I8" s="15"/>
      <c r="J8" s="15"/>
      <c r="K8" s="15"/>
      <c r="L8" s="19"/>
      <c r="M8" s="19"/>
      <c r="N8" s="19"/>
      <c r="O8" s="20"/>
      <c r="P8" s="20"/>
      <c r="Q8" s="20"/>
      <c r="R8" s="20"/>
      <c r="S8" s="20"/>
      <c r="T8" s="15"/>
      <c r="U8" s="15">
        <v>1</v>
      </c>
      <c r="V8" s="15">
        <v>1</v>
      </c>
      <c r="W8" s="15">
        <v>1</v>
      </c>
      <c r="X8" s="19">
        <v>1</v>
      </c>
      <c r="Y8" s="19">
        <v>1</v>
      </c>
      <c r="Z8" s="19">
        <v>1</v>
      </c>
      <c r="AA8" s="19">
        <v>1</v>
      </c>
      <c r="AB8" s="15"/>
      <c r="AC8" s="15"/>
      <c r="AD8" s="15"/>
      <c r="AE8" s="15"/>
      <c r="AF8" s="19"/>
      <c r="AG8" s="19"/>
      <c r="AH8" s="19"/>
      <c r="AI8" s="19"/>
      <c r="AJ8" s="15"/>
      <c r="AK8" s="15"/>
      <c r="AL8" s="15"/>
      <c r="AM8" s="15"/>
      <c r="AN8" s="19">
        <v>1</v>
      </c>
      <c r="AO8" s="19"/>
      <c r="AP8" s="19"/>
      <c r="AQ8" s="19"/>
      <c r="AR8" s="15"/>
      <c r="AS8" s="15"/>
      <c r="AT8" s="15"/>
      <c r="AU8" s="15"/>
      <c r="AV8" s="19"/>
      <c r="AW8" s="19"/>
      <c r="AX8" s="19"/>
      <c r="AY8" s="19"/>
      <c r="AZ8" s="15">
        <v>3</v>
      </c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</row>
    <row r="9" customFormat="1" spans="1:77">
      <c r="A9" s="32"/>
      <c r="C9" s="15"/>
      <c r="D9" s="15"/>
      <c r="E9" s="15"/>
      <c r="F9" s="19"/>
      <c r="G9" s="19"/>
      <c r="H9" s="19"/>
      <c r="I9" s="15"/>
      <c r="J9" s="15"/>
      <c r="K9" s="15"/>
      <c r="L9" s="19"/>
      <c r="M9" s="19"/>
      <c r="N9" s="19"/>
      <c r="O9" s="20"/>
      <c r="P9" s="20"/>
      <c r="Q9" s="20"/>
      <c r="R9" s="20"/>
      <c r="S9" s="20"/>
      <c r="T9" s="15"/>
      <c r="U9" s="15"/>
      <c r="V9" s="15"/>
      <c r="W9" s="15"/>
      <c r="X9" s="19">
        <v>1</v>
      </c>
      <c r="Y9" s="19">
        <v>1</v>
      </c>
      <c r="Z9" s="19">
        <v>1</v>
      </c>
      <c r="AA9" s="19">
        <v>1</v>
      </c>
      <c r="AB9" s="15"/>
      <c r="AC9" s="15"/>
      <c r="AD9" s="15"/>
      <c r="AE9" s="15"/>
      <c r="AF9" s="19"/>
      <c r="AG9" s="19"/>
      <c r="AH9" s="19"/>
      <c r="AI9" s="19"/>
      <c r="AJ9" s="15"/>
      <c r="AK9" s="15"/>
      <c r="AL9" s="15"/>
      <c r="AM9" s="15"/>
      <c r="AN9" s="19"/>
      <c r="AO9" s="19"/>
      <c r="AP9" s="19"/>
      <c r="AQ9" s="19"/>
      <c r="AR9" s="15"/>
      <c r="AS9" s="15"/>
      <c r="AT9" s="15"/>
      <c r="AU9" s="15"/>
      <c r="AV9" s="19"/>
      <c r="AW9" s="19"/>
      <c r="AX9" s="19"/>
      <c r="AY9" s="19"/>
      <c r="AZ9" s="15">
        <v>1</v>
      </c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</row>
    <row r="10" customFormat="1" spans="1:77">
      <c r="A10" s="32"/>
      <c r="C10" s="15"/>
      <c r="D10" s="15"/>
      <c r="E10" s="15"/>
      <c r="F10" s="19"/>
      <c r="G10" s="19"/>
      <c r="H10" s="19"/>
      <c r="I10" s="15"/>
      <c r="J10" s="15"/>
      <c r="K10" s="15"/>
      <c r="L10" s="19"/>
      <c r="M10" s="19"/>
      <c r="N10" s="19"/>
      <c r="O10" s="20"/>
      <c r="P10" s="20"/>
      <c r="Q10" s="20"/>
      <c r="R10" s="20"/>
      <c r="S10" s="20"/>
      <c r="T10" s="15"/>
      <c r="U10" s="15"/>
      <c r="V10" s="15"/>
      <c r="W10" s="15"/>
      <c r="X10" s="19"/>
      <c r="Y10" s="19"/>
      <c r="Z10" s="19"/>
      <c r="AA10" s="19"/>
      <c r="AB10" s="15"/>
      <c r="AC10" s="15"/>
      <c r="AD10" s="15"/>
      <c r="AE10" s="15"/>
      <c r="AF10" s="19"/>
      <c r="AG10" s="19"/>
      <c r="AH10" s="19"/>
      <c r="AI10" s="19"/>
      <c r="AJ10" s="15"/>
      <c r="AK10" s="15"/>
      <c r="AL10" s="15"/>
      <c r="AM10" s="15"/>
      <c r="AN10" s="19"/>
      <c r="AO10" s="19"/>
      <c r="AP10" s="19"/>
      <c r="AQ10" s="19"/>
      <c r="AR10" s="15"/>
      <c r="AS10" s="15"/>
      <c r="AT10" s="15"/>
      <c r="AU10" s="15"/>
      <c r="AV10" s="19"/>
      <c r="AW10" s="19"/>
      <c r="AX10" s="19"/>
      <c r="AY10" s="19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</row>
    <row r="11" customFormat="1" spans="1:77">
      <c r="A11" s="32"/>
      <c r="C11" s="15"/>
      <c r="D11" s="15"/>
      <c r="E11" s="15"/>
      <c r="F11" s="19"/>
      <c r="G11" s="19"/>
      <c r="H11" s="19"/>
      <c r="I11" s="15"/>
      <c r="J11" s="15"/>
      <c r="K11" s="15"/>
      <c r="L11" s="19"/>
      <c r="M11" s="19"/>
      <c r="N11" s="19"/>
      <c r="O11" s="20"/>
      <c r="P11" s="20"/>
      <c r="Q11" s="20"/>
      <c r="R11" s="20"/>
      <c r="S11" s="20"/>
      <c r="T11" s="15"/>
      <c r="U11" s="15"/>
      <c r="V11" s="15"/>
      <c r="W11" s="15"/>
      <c r="X11" s="19"/>
      <c r="Y11" s="19"/>
      <c r="Z11" s="19"/>
      <c r="AA11" s="19"/>
      <c r="AB11" s="15"/>
      <c r="AC11" s="15"/>
      <c r="AD11" s="15"/>
      <c r="AE11" s="15"/>
      <c r="AF11" s="19"/>
      <c r="AG11" s="19"/>
      <c r="AH11" s="19"/>
      <c r="AI11" s="19"/>
      <c r="AJ11" s="15"/>
      <c r="AK11" s="15"/>
      <c r="AL11" s="15"/>
      <c r="AM11" s="15"/>
      <c r="AN11" s="19"/>
      <c r="AO11" s="19"/>
      <c r="AP11" s="19"/>
      <c r="AQ11" s="19"/>
      <c r="AR11" s="15"/>
      <c r="AS11" s="15"/>
      <c r="AT11" s="15"/>
      <c r="AU11" s="15"/>
      <c r="AV11" s="19"/>
      <c r="AW11" s="19"/>
      <c r="AX11" s="19"/>
      <c r="AY11" s="19"/>
      <c r="AZ11" s="15">
        <v>1</v>
      </c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</row>
    <row r="12" customFormat="1" spans="1:77">
      <c r="A12" s="32"/>
      <c r="C12" s="15"/>
      <c r="D12" s="15"/>
      <c r="E12" s="15"/>
      <c r="F12" s="19"/>
      <c r="G12" s="19"/>
      <c r="H12" s="19"/>
      <c r="I12" s="15"/>
      <c r="J12" s="15"/>
      <c r="K12" s="15"/>
      <c r="L12" s="19"/>
      <c r="M12" s="19"/>
      <c r="N12" s="19"/>
      <c r="O12" s="20"/>
      <c r="P12" s="20"/>
      <c r="Q12" s="20"/>
      <c r="R12" s="20"/>
      <c r="S12" s="20"/>
      <c r="T12" s="15"/>
      <c r="U12" s="15"/>
      <c r="V12" s="15"/>
      <c r="W12" s="15"/>
      <c r="X12" s="19"/>
      <c r="Y12" s="19"/>
      <c r="Z12" s="19"/>
      <c r="AA12" s="19"/>
      <c r="AB12" s="15"/>
      <c r="AC12" s="15"/>
      <c r="AD12" s="15"/>
      <c r="AE12" s="15"/>
      <c r="AF12" s="19"/>
      <c r="AG12" s="19"/>
      <c r="AH12" s="19"/>
      <c r="AI12" s="19"/>
      <c r="AJ12" s="15"/>
      <c r="AK12" s="15"/>
      <c r="AL12" s="15"/>
      <c r="AM12" s="15"/>
      <c r="AN12" s="19"/>
      <c r="AO12" s="19"/>
      <c r="AP12" s="19"/>
      <c r="AQ12" s="19"/>
      <c r="AR12" s="15"/>
      <c r="AS12" s="15"/>
      <c r="AT12" s="15"/>
      <c r="AU12" s="15"/>
      <c r="AV12" s="19"/>
      <c r="AW12" s="19"/>
      <c r="AX12" s="19"/>
      <c r="AY12" s="19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</row>
    <row r="13" customFormat="1" spans="1:77">
      <c r="A13" s="32"/>
      <c r="C13" s="15"/>
      <c r="D13" s="15"/>
      <c r="E13" s="15"/>
      <c r="F13" s="19"/>
      <c r="G13" s="19"/>
      <c r="H13" s="19"/>
      <c r="I13" s="15"/>
      <c r="J13" s="15"/>
      <c r="K13" s="15"/>
      <c r="L13" s="19"/>
      <c r="M13" s="19"/>
      <c r="N13" s="19"/>
      <c r="O13" s="20"/>
      <c r="P13" s="20"/>
      <c r="Q13" s="20"/>
      <c r="R13" s="20"/>
      <c r="S13" s="20"/>
      <c r="T13" s="15"/>
      <c r="U13" s="15"/>
      <c r="V13" s="15"/>
      <c r="W13" s="15"/>
      <c r="X13" s="19"/>
      <c r="Y13" s="19"/>
      <c r="Z13" s="19"/>
      <c r="AA13" s="19"/>
      <c r="AB13" s="15"/>
      <c r="AC13" s="15"/>
      <c r="AD13" s="15"/>
      <c r="AE13" s="15"/>
      <c r="AF13" s="19"/>
      <c r="AG13" s="19"/>
      <c r="AH13" s="19"/>
      <c r="AI13" s="19"/>
      <c r="AJ13" s="15"/>
      <c r="AK13" s="15"/>
      <c r="AL13" s="15"/>
      <c r="AM13" s="15"/>
      <c r="AN13" s="19"/>
      <c r="AO13" s="19"/>
      <c r="AP13" s="19"/>
      <c r="AQ13" s="19"/>
      <c r="AR13" s="15"/>
      <c r="AS13" s="15"/>
      <c r="AT13" s="15"/>
      <c r="AU13" s="15"/>
      <c r="AV13" s="19"/>
      <c r="AW13" s="19"/>
      <c r="AX13" s="19"/>
      <c r="AY13" s="19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</row>
    <row r="14" customFormat="1" spans="1:77">
      <c r="A14" s="32"/>
      <c r="C14" s="15"/>
      <c r="D14" s="15"/>
      <c r="E14" s="15"/>
      <c r="F14" s="19"/>
      <c r="G14" s="19"/>
      <c r="H14" s="19"/>
      <c r="I14" s="15"/>
      <c r="J14" s="15"/>
      <c r="K14" s="15"/>
      <c r="L14" s="19"/>
      <c r="M14" s="19"/>
      <c r="N14" s="19"/>
      <c r="O14" s="20"/>
      <c r="P14" s="20"/>
      <c r="Q14" s="20"/>
      <c r="R14" s="20"/>
      <c r="S14" s="20"/>
      <c r="T14" s="15"/>
      <c r="U14" s="15"/>
      <c r="V14" s="15"/>
      <c r="W14" s="15"/>
      <c r="X14" s="19"/>
      <c r="Y14" s="19"/>
      <c r="Z14" s="19"/>
      <c r="AA14" s="19"/>
      <c r="AB14" s="15"/>
      <c r="AC14" s="15"/>
      <c r="AD14" s="15"/>
      <c r="AE14" s="15"/>
      <c r="AF14" s="19"/>
      <c r="AG14" s="19"/>
      <c r="AH14" s="19"/>
      <c r="AI14" s="19"/>
      <c r="AJ14" s="15"/>
      <c r="AK14" s="15"/>
      <c r="AL14" s="15"/>
      <c r="AM14" s="15"/>
      <c r="AN14" s="19"/>
      <c r="AO14" s="19"/>
      <c r="AP14" s="19"/>
      <c r="AQ14" s="19"/>
      <c r="AR14" s="15"/>
      <c r="AS14" s="15"/>
      <c r="AT14" s="15"/>
      <c r="AU14" s="15"/>
      <c r="AV14" s="19"/>
      <c r="AW14" s="19"/>
      <c r="AX14" s="19"/>
      <c r="AY14" s="19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</row>
    <row r="15" customFormat="1" spans="1:77">
      <c r="A15" s="32"/>
      <c r="C15" s="15"/>
      <c r="D15" s="15"/>
      <c r="E15" s="15"/>
      <c r="F15" s="19">
        <v>1</v>
      </c>
      <c r="G15" s="19"/>
      <c r="H15" s="19"/>
      <c r="I15" s="15"/>
      <c r="J15" s="15"/>
      <c r="K15" s="15"/>
      <c r="L15" s="19"/>
      <c r="M15" s="19"/>
      <c r="N15" s="19"/>
      <c r="O15" s="20"/>
      <c r="P15" s="20"/>
      <c r="Q15" s="20"/>
      <c r="R15" s="20"/>
      <c r="S15" s="20"/>
      <c r="T15" s="15"/>
      <c r="U15" s="15"/>
      <c r="V15" s="15"/>
      <c r="W15" s="15"/>
      <c r="X15" s="19"/>
      <c r="Y15" s="19"/>
      <c r="Z15" s="19"/>
      <c r="AA15" s="19"/>
      <c r="AB15" s="15"/>
      <c r="AC15" s="15"/>
      <c r="AD15" s="15"/>
      <c r="AE15" s="15"/>
      <c r="AF15" s="19"/>
      <c r="AG15" s="19"/>
      <c r="AH15" s="19"/>
      <c r="AI15" s="19"/>
      <c r="AJ15" s="15"/>
      <c r="AK15" s="15"/>
      <c r="AL15" s="15"/>
      <c r="AM15" s="15"/>
      <c r="AN15" s="19"/>
      <c r="AO15" s="19"/>
      <c r="AP15" s="19"/>
      <c r="AQ15" s="19"/>
      <c r="AR15" s="15"/>
      <c r="AS15" s="15"/>
      <c r="AT15" s="15"/>
      <c r="AU15" s="15"/>
      <c r="AV15" s="19"/>
      <c r="AW15" s="19"/>
      <c r="AX15" s="19"/>
      <c r="AY15" s="19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</row>
    <row r="16" customFormat="1" spans="1:77">
      <c r="A16" s="32"/>
      <c r="C16" s="15"/>
      <c r="D16" s="15"/>
      <c r="E16" s="15"/>
      <c r="F16" s="19"/>
      <c r="G16" s="19"/>
      <c r="H16" s="19"/>
      <c r="I16" s="15"/>
      <c r="J16" s="15"/>
      <c r="K16" s="15"/>
      <c r="L16" s="19"/>
      <c r="M16" s="19"/>
      <c r="N16" s="19"/>
      <c r="O16" s="20"/>
      <c r="P16" s="20"/>
      <c r="Q16" s="20"/>
      <c r="R16" s="20"/>
      <c r="S16" s="20"/>
      <c r="T16" s="15"/>
      <c r="U16" s="15"/>
      <c r="V16" s="15"/>
      <c r="W16" s="15"/>
      <c r="X16" s="19"/>
      <c r="Y16" s="19"/>
      <c r="Z16" s="19"/>
      <c r="AA16" s="19"/>
      <c r="AB16" s="15"/>
      <c r="AC16" s="15"/>
      <c r="AD16" s="15"/>
      <c r="AE16" s="15"/>
      <c r="AF16" s="19"/>
      <c r="AG16" s="19"/>
      <c r="AH16" s="19"/>
      <c r="AI16" s="19"/>
      <c r="AJ16" s="15"/>
      <c r="AK16" s="15"/>
      <c r="AL16" s="15"/>
      <c r="AM16" s="15"/>
      <c r="AN16" s="19"/>
      <c r="AO16" s="19"/>
      <c r="AP16" s="19"/>
      <c r="AQ16" s="19"/>
      <c r="AR16" s="15"/>
      <c r="AS16" s="15"/>
      <c r="AT16" s="15"/>
      <c r="AU16" s="15"/>
      <c r="AV16" s="19"/>
      <c r="AW16" s="19"/>
      <c r="AX16" s="19"/>
      <c r="AY16" s="19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</row>
    <row r="17" customFormat="1" spans="1:77">
      <c r="A17" s="32"/>
      <c r="C17" s="15"/>
      <c r="D17" s="15"/>
      <c r="E17" s="15"/>
      <c r="F17" s="19"/>
      <c r="G17" s="19"/>
      <c r="H17" s="19"/>
      <c r="I17" s="15"/>
      <c r="J17" s="15"/>
      <c r="K17" s="15"/>
      <c r="L17" s="19"/>
      <c r="M17" s="19"/>
      <c r="N17" s="19"/>
      <c r="O17" s="20"/>
      <c r="P17" s="20"/>
      <c r="Q17" s="20"/>
      <c r="R17" s="20"/>
      <c r="S17" s="20"/>
      <c r="T17" s="15"/>
      <c r="U17" s="15"/>
      <c r="V17" s="15"/>
      <c r="W17" s="15"/>
      <c r="X17" s="19"/>
      <c r="Y17" s="19"/>
      <c r="Z17" s="19"/>
      <c r="AA17" s="19"/>
      <c r="AB17" s="15"/>
      <c r="AC17" s="15"/>
      <c r="AD17" s="15"/>
      <c r="AE17" s="15"/>
      <c r="AF17" s="19"/>
      <c r="AG17" s="19"/>
      <c r="AH17" s="19"/>
      <c r="AI17" s="19"/>
      <c r="AJ17" s="15"/>
      <c r="AK17" s="15"/>
      <c r="AL17" s="15"/>
      <c r="AM17" s="15"/>
      <c r="AN17" s="19"/>
      <c r="AO17" s="19"/>
      <c r="AP17" s="19"/>
      <c r="AQ17" s="19"/>
      <c r="AR17" s="15"/>
      <c r="AS17" s="15"/>
      <c r="AT17" s="15"/>
      <c r="AU17" s="15"/>
      <c r="AV17" s="19"/>
      <c r="AW17" s="19"/>
      <c r="AX17" s="19"/>
      <c r="AY17" s="19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</row>
    <row r="18" customFormat="1" spans="1:77">
      <c r="A18" s="32"/>
      <c r="C18" s="15"/>
      <c r="D18" s="15"/>
      <c r="E18" s="15"/>
      <c r="F18" s="19"/>
      <c r="G18" s="19"/>
      <c r="H18" s="19"/>
      <c r="I18" s="15"/>
      <c r="J18" s="15"/>
      <c r="K18" s="15"/>
      <c r="L18" s="19"/>
      <c r="M18" s="19"/>
      <c r="N18" s="19"/>
      <c r="O18" s="20"/>
      <c r="P18" s="20"/>
      <c r="Q18" s="20"/>
      <c r="R18" s="20"/>
      <c r="S18" s="20"/>
      <c r="T18" s="15"/>
      <c r="U18" s="15"/>
      <c r="V18" s="15"/>
      <c r="W18" s="15"/>
      <c r="X18" s="19"/>
      <c r="Y18" s="19"/>
      <c r="Z18" s="19"/>
      <c r="AA18" s="19"/>
      <c r="AB18" s="15"/>
      <c r="AC18" s="15"/>
      <c r="AD18" s="15"/>
      <c r="AE18" s="15"/>
      <c r="AF18" s="19"/>
      <c r="AG18" s="19"/>
      <c r="AH18" s="19"/>
      <c r="AI18" s="19"/>
      <c r="AJ18" s="15"/>
      <c r="AK18" s="15"/>
      <c r="AL18" s="15"/>
      <c r="AM18" s="15"/>
      <c r="AN18" s="19"/>
      <c r="AO18" s="19"/>
      <c r="AP18" s="19"/>
      <c r="AQ18" s="19"/>
      <c r="AR18" s="15"/>
      <c r="AS18" s="15"/>
      <c r="AT18" s="15"/>
      <c r="AU18" s="15"/>
      <c r="AV18" s="19"/>
      <c r="AW18" s="19"/>
      <c r="AX18" s="19"/>
      <c r="AY18" s="19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</row>
    <row r="19" customFormat="1" spans="1:77">
      <c r="A19" s="32"/>
      <c r="C19" s="15"/>
      <c r="D19" s="15"/>
      <c r="E19" s="15"/>
      <c r="F19" s="19"/>
      <c r="G19" s="19"/>
      <c r="H19" s="19"/>
      <c r="I19" s="15"/>
      <c r="J19" s="15"/>
      <c r="K19" s="15"/>
      <c r="L19" s="19"/>
      <c r="M19" s="19"/>
      <c r="N19" s="19"/>
      <c r="O19" s="20"/>
      <c r="P19" s="20"/>
      <c r="Q19" s="20"/>
      <c r="R19" s="20"/>
      <c r="S19" s="20"/>
      <c r="T19" s="15"/>
      <c r="U19" s="15"/>
      <c r="V19" s="15"/>
      <c r="W19" s="15"/>
      <c r="X19" s="19"/>
      <c r="Y19" s="19"/>
      <c r="Z19" s="19"/>
      <c r="AA19" s="19"/>
      <c r="AB19" s="15"/>
      <c r="AC19" s="15"/>
      <c r="AD19" s="15"/>
      <c r="AE19" s="15"/>
      <c r="AF19" s="19"/>
      <c r="AG19" s="19"/>
      <c r="AH19" s="19"/>
      <c r="AI19" s="19"/>
      <c r="AJ19" s="15"/>
      <c r="AK19" s="15"/>
      <c r="AL19" s="15"/>
      <c r="AM19" s="15"/>
      <c r="AN19" s="19"/>
      <c r="AO19" s="19"/>
      <c r="AP19" s="19"/>
      <c r="AQ19" s="19"/>
      <c r="AR19" s="15"/>
      <c r="AS19" s="15"/>
      <c r="AT19" s="15"/>
      <c r="AU19" s="15"/>
      <c r="AV19" s="19"/>
      <c r="AW19" s="19"/>
      <c r="AX19" s="19"/>
      <c r="AY19" s="19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</row>
    <row r="20" customFormat="1" spans="1:77">
      <c r="A20" s="32"/>
      <c r="C20" s="15"/>
      <c r="D20" s="15"/>
      <c r="E20" s="15"/>
      <c r="F20" s="19"/>
      <c r="G20" s="19"/>
      <c r="H20" s="19"/>
      <c r="I20" s="15"/>
      <c r="J20" s="15"/>
      <c r="K20" s="15"/>
      <c r="L20" s="19"/>
      <c r="M20" s="19"/>
      <c r="N20" s="19"/>
      <c r="O20" s="20"/>
      <c r="P20" s="20"/>
      <c r="Q20" s="20"/>
      <c r="R20" s="20"/>
      <c r="S20" s="20"/>
      <c r="T20" s="15"/>
      <c r="U20" s="15"/>
      <c r="V20" s="15"/>
      <c r="W20" s="15"/>
      <c r="X20" s="19"/>
      <c r="Y20" s="19"/>
      <c r="Z20" s="19"/>
      <c r="AA20" s="19"/>
      <c r="AB20" s="15"/>
      <c r="AC20" s="15"/>
      <c r="AD20" s="15"/>
      <c r="AE20" s="15"/>
      <c r="AF20" s="19"/>
      <c r="AG20" s="19"/>
      <c r="AH20" s="19"/>
      <c r="AI20" s="19"/>
      <c r="AJ20" s="15"/>
      <c r="AK20" s="15"/>
      <c r="AL20" s="15"/>
      <c r="AM20" s="15"/>
      <c r="AN20" s="19"/>
      <c r="AO20" s="19"/>
      <c r="AP20" s="19"/>
      <c r="AQ20" s="19"/>
      <c r="AR20" s="15"/>
      <c r="AS20" s="15"/>
      <c r="AT20" s="15"/>
      <c r="AU20" s="15"/>
      <c r="AV20" s="19"/>
      <c r="AW20" s="19"/>
      <c r="AX20" s="19"/>
      <c r="AY20" s="19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</row>
    <row r="21" customFormat="1" spans="1:77">
      <c r="A21" s="32"/>
      <c r="C21" s="15"/>
      <c r="D21" s="15"/>
      <c r="E21" s="15"/>
      <c r="F21" s="19"/>
      <c r="G21" s="19"/>
      <c r="H21" s="19"/>
      <c r="I21" s="15"/>
      <c r="J21" s="15"/>
      <c r="K21" s="15"/>
      <c r="L21" s="19"/>
      <c r="M21" s="19"/>
      <c r="N21" s="19"/>
      <c r="O21" s="20"/>
      <c r="P21" s="20"/>
      <c r="Q21" s="20"/>
      <c r="R21" s="20"/>
      <c r="S21" s="20"/>
      <c r="T21" s="15"/>
      <c r="U21" s="15"/>
      <c r="V21" s="15"/>
      <c r="W21" s="15"/>
      <c r="X21" s="19"/>
      <c r="Y21" s="19"/>
      <c r="Z21" s="19"/>
      <c r="AA21" s="19"/>
      <c r="AB21" s="15"/>
      <c r="AC21" s="15"/>
      <c r="AD21" s="15"/>
      <c r="AE21" s="15"/>
      <c r="AF21" s="19"/>
      <c r="AG21" s="19"/>
      <c r="AH21" s="19"/>
      <c r="AI21" s="19"/>
      <c r="AJ21" s="15"/>
      <c r="AK21" s="15"/>
      <c r="AL21" s="15"/>
      <c r="AM21" s="15"/>
      <c r="AN21" s="19"/>
      <c r="AO21" s="19"/>
      <c r="AP21" s="19"/>
      <c r="AQ21" s="19"/>
      <c r="AR21" s="15"/>
      <c r="AS21" s="15"/>
      <c r="AT21" s="15"/>
      <c r="AU21" s="15"/>
      <c r="AV21" s="19"/>
      <c r="AW21" s="19"/>
      <c r="AX21" s="19"/>
      <c r="AY21" s="19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</row>
    <row r="22" customFormat="1" spans="1:77">
      <c r="A22" s="32"/>
      <c r="C22" s="15"/>
      <c r="D22" s="15"/>
      <c r="E22" s="15"/>
      <c r="F22" s="19"/>
      <c r="G22" s="19"/>
      <c r="H22" s="19"/>
      <c r="I22" s="15"/>
      <c r="J22" s="15"/>
      <c r="K22" s="15"/>
      <c r="L22" s="19"/>
      <c r="M22" s="19"/>
      <c r="N22" s="19"/>
      <c r="O22" s="20"/>
      <c r="P22" s="20"/>
      <c r="Q22" s="20"/>
      <c r="R22" s="20"/>
      <c r="S22" s="20"/>
      <c r="T22" s="15"/>
      <c r="U22" s="15"/>
      <c r="V22" s="15"/>
      <c r="W22" s="15"/>
      <c r="X22" s="19"/>
      <c r="Y22" s="19"/>
      <c r="Z22" s="19"/>
      <c r="AA22" s="19"/>
      <c r="AB22" s="15"/>
      <c r="AC22" s="15"/>
      <c r="AD22" s="15"/>
      <c r="AE22" s="15"/>
      <c r="AF22" s="19"/>
      <c r="AG22" s="19"/>
      <c r="AH22" s="19"/>
      <c r="AI22" s="19"/>
      <c r="AJ22" s="15"/>
      <c r="AK22" s="15"/>
      <c r="AL22" s="15"/>
      <c r="AM22" s="15"/>
      <c r="AN22" s="19"/>
      <c r="AO22" s="19"/>
      <c r="AP22" s="19"/>
      <c r="AQ22" s="19"/>
      <c r="AR22" s="15"/>
      <c r="AS22" s="15"/>
      <c r="AT22" s="15"/>
      <c r="AU22" s="15"/>
      <c r="AV22" s="19"/>
      <c r="AW22" s="19"/>
      <c r="AX22" s="19"/>
      <c r="AY22" s="19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</row>
    <row r="23" spans="1:52">
      <c r="A23" s="32"/>
      <c r="AZ23" s="15">
        <v>6</v>
      </c>
    </row>
    <row r="24" spans="1:60">
      <c r="A24" s="32"/>
      <c r="BH24" s="15">
        <v>3</v>
      </c>
    </row>
    <row r="25" spans="1:1">
      <c r="A25" s="32"/>
    </row>
    <row r="26" spans="1:58">
      <c r="A26" s="32"/>
      <c r="BF26" s="15">
        <v>1</v>
      </c>
    </row>
  </sheetData>
  <mergeCells count="23">
    <mergeCell ref="A1:F1"/>
    <mergeCell ref="C2:E2"/>
    <mergeCell ref="F2:H2"/>
    <mergeCell ref="I2:K2"/>
    <mergeCell ref="L2:N2"/>
    <mergeCell ref="T2:W2"/>
    <mergeCell ref="X2:AA2"/>
    <mergeCell ref="AB2:AE2"/>
    <mergeCell ref="AF2:AI2"/>
    <mergeCell ref="AJ2:AM2"/>
    <mergeCell ref="AN2:AQ2"/>
    <mergeCell ref="AR2:AU2"/>
    <mergeCell ref="AV2:AY2"/>
    <mergeCell ref="AZ2:BE2"/>
    <mergeCell ref="BI2:BL2"/>
    <mergeCell ref="BO2:BQ2"/>
    <mergeCell ref="BT2:BY2"/>
    <mergeCell ref="A2:A3"/>
    <mergeCell ref="BF2:BF3"/>
    <mergeCell ref="BG2:BG3"/>
    <mergeCell ref="BN2:BN3"/>
    <mergeCell ref="BR2:BR3"/>
    <mergeCell ref="BS2:BS3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pane ySplit="2" topLeftCell="A3" activePane="bottomLeft" state="frozen"/>
      <selection/>
      <selection pane="bottomLeft" activeCell="D2" sqref="D2:G98"/>
    </sheetView>
  </sheetViews>
  <sheetFormatPr defaultColWidth="9" defaultRowHeight="16.8" outlineLevelRow="7"/>
  <cols>
    <col min="16" max="16" width="11.25" customWidth="1"/>
  </cols>
  <sheetData>
    <row r="1" ht="28" customHeight="1" spans="15:16">
      <c r="O1" s="15">
        <f>SUM(O3:O300)</f>
        <v>0</v>
      </c>
      <c r="P1" s="15">
        <f>SUM(P3:P300)</f>
        <v>9224.5</v>
      </c>
    </row>
    <row r="2" s="8" customFormat="1" ht="30" customHeight="1" spans="1:17">
      <c r="A2" s="9" t="s">
        <v>122</v>
      </c>
      <c r="B2" s="9" t="s">
        <v>35</v>
      </c>
      <c r="C2" s="10" t="s">
        <v>381</v>
      </c>
      <c r="D2" s="10" t="s">
        <v>382</v>
      </c>
      <c r="E2" s="10" t="s">
        <v>383</v>
      </c>
      <c r="F2" s="10" t="s">
        <v>384</v>
      </c>
      <c r="G2" s="10" t="s">
        <v>385</v>
      </c>
      <c r="H2" s="10" t="s">
        <v>386</v>
      </c>
      <c r="I2" s="10" t="s">
        <v>387</v>
      </c>
      <c r="J2" s="10" t="s">
        <v>388</v>
      </c>
      <c r="K2" s="10" t="s">
        <v>13</v>
      </c>
      <c r="L2" s="10" t="s">
        <v>389</v>
      </c>
      <c r="M2" s="10" t="s">
        <v>390</v>
      </c>
      <c r="N2" s="10" t="s">
        <v>391</v>
      </c>
      <c r="O2" s="9" t="s">
        <v>392</v>
      </c>
      <c r="P2" s="10" t="s">
        <v>393</v>
      </c>
      <c r="Q2" s="8" t="s">
        <v>6</v>
      </c>
    </row>
    <row r="3" spans="1:17">
      <c r="A3" s="11">
        <v>45394</v>
      </c>
      <c r="B3" s="12" t="s">
        <v>394</v>
      </c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>
        <f>SUM(C3:N3)</f>
        <v>0</v>
      </c>
      <c r="P3" s="16">
        <v>4386.9</v>
      </c>
      <c r="Q3" s="17"/>
    </row>
    <row r="4" spans="1:17">
      <c r="A4" s="11">
        <v>45410</v>
      </c>
      <c r="B4" s="12" t="s">
        <v>395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>
        <f>SUM(C4:N4)</f>
        <v>0</v>
      </c>
      <c r="P4" s="16">
        <v>4837.6</v>
      </c>
      <c r="Q4" s="17"/>
    </row>
    <row r="8" spans="11:11">
      <c r="K8" s="8"/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6"/>
  <sheetViews>
    <sheetView workbookViewId="0">
      <selection activeCell="B7" sqref="B7"/>
    </sheetView>
  </sheetViews>
  <sheetFormatPr defaultColWidth="9" defaultRowHeight="16.8" outlineLevelRow="5"/>
  <sheetData>
    <row r="1" s="1" customFormat="1" spans="1:77">
      <c r="A1" s="2" t="s">
        <v>3</v>
      </c>
      <c r="B1" s="2" t="s">
        <v>324</v>
      </c>
      <c r="C1" s="3" t="s">
        <v>325</v>
      </c>
      <c r="D1" s="4"/>
      <c r="E1" s="6"/>
      <c r="F1" s="3" t="s">
        <v>326</v>
      </c>
      <c r="G1" s="4"/>
      <c r="H1" s="6"/>
      <c r="I1" s="3" t="s">
        <v>327</v>
      </c>
      <c r="J1" s="4"/>
      <c r="K1" s="6"/>
      <c r="L1" s="3" t="s">
        <v>328</v>
      </c>
      <c r="M1" s="4"/>
      <c r="N1" s="6"/>
      <c r="O1" s="2" t="s">
        <v>329</v>
      </c>
      <c r="P1" s="2" t="s">
        <v>330</v>
      </c>
      <c r="Q1" s="2" t="s">
        <v>331</v>
      </c>
      <c r="R1" s="2" t="s">
        <v>133</v>
      </c>
      <c r="S1" s="2" t="s">
        <v>332</v>
      </c>
      <c r="T1" s="3" t="s">
        <v>333</v>
      </c>
      <c r="U1" s="4"/>
      <c r="V1" s="4"/>
      <c r="W1" s="6"/>
      <c r="X1" s="3" t="s">
        <v>334</v>
      </c>
      <c r="Y1" s="4"/>
      <c r="Z1" s="4"/>
      <c r="AA1" s="6"/>
      <c r="AB1" s="3" t="s">
        <v>335</v>
      </c>
      <c r="AC1" s="4"/>
      <c r="AD1" s="4"/>
      <c r="AE1" s="6"/>
      <c r="AF1" s="3" t="s">
        <v>336</v>
      </c>
      <c r="AG1" s="4"/>
      <c r="AH1" s="4"/>
      <c r="AI1" s="6"/>
      <c r="AJ1" s="3" t="s">
        <v>337</v>
      </c>
      <c r="AK1" s="4"/>
      <c r="AL1" s="4"/>
      <c r="AM1" s="6"/>
      <c r="AN1" s="3" t="s">
        <v>338</v>
      </c>
      <c r="AO1" s="4"/>
      <c r="AP1" s="4"/>
      <c r="AQ1" s="6"/>
      <c r="AR1" s="3" t="s">
        <v>339</v>
      </c>
      <c r="AS1" s="4"/>
      <c r="AT1" s="4"/>
      <c r="AU1" s="6"/>
      <c r="AV1" s="3" t="s">
        <v>340</v>
      </c>
      <c r="AW1" s="4"/>
      <c r="AX1" s="4"/>
      <c r="AY1" s="6"/>
      <c r="AZ1" s="3" t="s">
        <v>341</v>
      </c>
      <c r="BA1" s="4"/>
      <c r="BB1" s="4"/>
      <c r="BC1" s="4"/>
      <c r="BD1" s="4"/>
      <c r="BE1" s="6"/>
      <c r="BF1" s="2" t="s">
        <v>342</v>
      </c>
      <c r="BG1" s="2" t="s">
        <v>343</v>
      </c>
      <c r="BH1" s="2"/>
      <c r="BI1" s="2" t="s">
        <v>344</v>
      </c>
      <c r="BJ1" s="2"/>
      <c r="BK1" s="2"/>
      <c r="BL1" s="2"/>
      <c r="BM1" s="2" t="s">
        <v>220</v>
      </c>
      <c r="BN1" s="2" t="s">
        <v>345</v>
      </c>
      <c r="BO1" s="2" t="s">
        <v>346</v>
      </c>
      <c r="BP1" s="2"/>
      <c r="BQ1" s="2"/>
      <c r="BR1" s="2" t="s">
        <v>347</v>
      </c>
      <c r="BS1" s="2" t="s">
        <v>348</v>
      </c>
      <c r="BT1" s="2" t="s">
        <v>349</v>
      </c>
      <c r="BU1" s="2"/>
      <c r="BV1" s="2"/>
      <c r="BW1" s="2"/>
      <c r="BX1" s="2"/>
      <c r="BY1" s="2"/>
    </row>
    <row r="2" s="1" customFormat="1" spans="1:77">
      <c r="A2" s="2"/>
      <c r="B2" s="2"/>
      <c r="C2" s="2" t="s">
        <v>350</v>
      </c>
      <c r="D2" s="2" t="s">
        <v>351</v>
      </c>
      <c r="E2" s="2" t="s">
        <v>352</v>
      </c>
      <c r="F2" s="2" t="s">
        <v>350</v>
      </c>
      <c r="G2" s="2" t="s">
        <v>351</v>
      </c>
      <c r="H2" s="2" t="s">
        <v>352</v>
      </c>
      <c r="I2" s="2" t="s">
        <v>350</v>
      </c>
      <c r="J2" s="2" t="s">
        <v>351</v>
      </c>
      <c r="K2" s="2" t="s">
        <v>352</v>
      </c>
      <c r="L2" s="2" t="s">
        <v>350</v>
      </c>
      <c r="M2" s="2" t="s">
        <v>351</v>
      </c>
      <c r="N2" s="2" t="s">
        <v>352</v>
      </c>
      <c r="O2" s="2"/>
      <c r="P2" s="2"/>
      <c r="Q2" s="2"/>
      <c r="R2" s="2"/>
      <c r="S2" s="2"/>
      <c r="T2" s="2" t="s">
        <v>353</v>
      </c>
      <c r="U2" s="2" t="s">
        <v>354</v>
      </c>
      <c r="V2" s="2" t="s">
        <v>355</v>
      </c>
      <c r="W2" s="2" t="s">
        <v>356</v>
      </c>
      <c r="X2" s="2" t="s">
        <v>353</v>
      </c>
      <c r="Y2" s="2" t="s">
        <v>354</v>
      </c>
      <c r="Z2" s="2" t="s">
        <v>355</v>
      </c>
      <c r="AA2" s="2" t="s">
        <v>356</v>
      </c>
      <c r="AB2" s="2" t="s">
        <v>353</v>
      </c>
      <c r="AC2" s="2" t="s">
        <v>354</v>
      </c>
      <c r="AD2" s="2" t="s">
        <v>355</v>
      </c>
      <c r="AE2" s="2" t="s">
        <v>356</v>
      </c>
      <c r="AF2" s="2" t="s">
        <v>353</v>
      </c>
      <c r="AG2" s="2" t="s">
        <v>354</v>
      </c>
      <c r="AH2" s="2" t="s">
        <v>355</v>
      </c>
      <c r="AI2" s="2" t="s">
        <v>356</v>
      </c>
      <c r="AJ2" s="2" t="s">
        <v>353</v>
      </c>
      <c r="AK2" s="2" t="s">
        <v>354</v>
      </c>
      <c r="AL2" s="2" t="s">
        <v>355</v>
      </c>
      <c r="AM2" s="2" t="s">
        <v>356</v>
      </c>
      <c r="AN2" s="2" t="s">
        <v>353</v>
      </c>
      <c r="AO2" s="2" t="s">
        <v>354</v>
      </c>
      <c r="AP2" s="2" t="s">
        <v>355</v>
      </c>
      <c r="AQ2" s="2" t="s">
        <v>356</v>
      </c>
      <c r="AR2" s="2" t="s">
        <v>353</v>
      </c>
      <c r="AS2" s="2" t="s">
        <v>354</v>
      </c>
      <c r="AT2" s="2" t="s">
        <v>355</v>
      </c>
      <c r="AU2" s="2" t="s">
        <v>356</v>
      </c>
      <c r="AV2" s="2" t="s">
        <v>353</v>
      </c>
      <c r="AW2" s="2" t="s">
        <v>354</v>
      </c>
      <c r="AX2" s="2" t="s">
        <v>355</v>
      </c>
      <c r="AY2" s="2" t="s">
        <v>356</v>
      </c>
      <c r="AZ2" s="2" t="s">
        <v>357</v>
      </c>
      <c r="BA2" s="2" t="s">
        <v>358</v>
      </c>
      <c r="BB2" s="2" t="s">
        <v>359</v>
      </c>
      <c r="BC2" s="2" t="s">
        <v>360</v>
      </c>
      <c r="BD2" s="2" t="s">
        <v>361</v>
      </c>
      <c r="BE2" s="2" t="s">
        <v>362</v>
      </c>
      <c r="BF2" s="2"/>
      <c r="BG2" s="2"/>
      <c r="BH2" s="2" t="s">
        <v>363</v>
      </c>
      <c r="BI2" s="2" t="s">
        <v>364</v>
      </c>
      <c r="BJ2" s="2" t="s">
        <v>365</v>
      </c>
      <c r="BK2" s="2" t="s">
        <v>366</v>
      </c>
      <c r="BL2" s="2" t="s">
        <v>367</v>
      </c>
      <c r="BM2" s="2" t="s">
        <v>356</v>
      </c>
      <c r="BN2" s="2"/>
      <c r="BO2" s="2" t="s">
        <v>368</v>
      </c>
      <c r="BP2" s="2" t="s">
        <v>369</v>
      </c>
      <c r="BQ2" s="2" t="s">
        <v>370</v>
      </c>
      <c r="BR2" s="2"/>
      <c r="BS2" s="2"/>
      <c r="BT2" s="2" t="s">
        <v>371</v>
      </c>
      <c r="BU2" s="2" t="s">
        <v>372</v>
      </c>
      <c r="BV2" s="2" t="s">
        <v>373</v>
      </c>
      <c r="BW2" s="2" t="s">
        <v>374</v>
      </c>
      <c r="BX2" s="2" t="s">
        <v>375</v>
      </c>
      <c r="BY2" s="2" t="s">
        <v>376</v>
      </c>
    </row>
    <row r="3" spans="1:77">
      <c r="A3" s="5" t="s">
        <v>378</v>
      </c>
      <c r="B3" s="5">
        <v>35</v>
      </c>
      <c r="C3" s="5">
        <v>27</v>
      </c>
      <c r="D3" s="5">
        <v>7.5</v>
      </c>
      <c r="E3" s="5">
        <v>19.1</v>
      </c>
      <c r="F3" s="5">
        <v>34</v>
      </c>
      <c r="G3" s="5">
        <v>6.7</v>
      </c>
      <c r="H3" s="5">
        <v>4.1</v>
      </c>
      <c r="I3" s="5">
        <v>13.4</v>
      </c>
      <c r="J3" s="5">
        <v>7.9</v>
      </c>
      <c r="K3" s="5">
        <v>11</v>
      </c>
      <c r="L3" s="5">
        <v>10</v>
      </c>
      <c r="M3" s="5">
        <v>5</v>
      </c>
      <c r="N3" s="5">
        <v>9.4</v>
      </c>
      <c r="O3" s="5">
        <v>13</v>
      </c>
      <c r="P3" s="5">
        <v>3</v>
      </c>
      <c r="Q3" s="7">
        <v>6</v>
      </c>
      <c r="R3" s="5">
        <v>33</v>
      </c>
      <c r="S3" s="5"/>
      <c r="T3" s="7">
        <v>11</v>
      </c>
      <c r="U3" s="7">
        <v>15</v>
      </c>
      <c r="V3" s="7">
        <v>18</v>
      </c>
      <c r="W3" s="7">
        <v>11</v>
      </c>
      <c r="X3" s="7">
        <v>11</v>
      </c>
      <c r="Y3" s="7">
        <v>12</v>
      </c>
      <c r="Z3" s="7">
        <v>13</v>
      </c>
      <c r="AA3" s="7">
        <v>11</v>
      </c>
      <c r="AB3" s="7">
        <v>6</v>
      </c>
      <c r="AC3" s="7">
        <v>6</v>
      </c>
      <c r="AD3" s="7">
        <v>6</v>
      </c>
      <c r="AE3" s="7">
        <v>6</v>
      </c>
      <c r="AF3" s="7">
        <v>5</v>
      </c>
      <c r="AG3" s="7">
        <v>6</v>
      </c>
      <c r="AH3" s="7">
        <v>7</v>
      </c>
      <c r="AI3" s="7">
        <v>6</v>
      </c>
      <c r="AJ3" s="7">
        <v>3</v>
      </c>
      <c r="AK3" s="7">
        <v>10</v>
      </c>
      <c r="AL3" s="7">
        <v>4</v>
      </c>
      <c r="AM3" s="7">
        <v>5</v>
      </c>
      <c r="AN3" s="7">
        <v>1</v>
      </c>
      <c r="AO3" s="7">
        <v>0</v>
      </c>
      <c r="AP3" s="7">
        <v>2</v>
      </c>
      <c r="AQ3" s="7">
        <v>0</v>
      </c>
      <c r="AR3" s="7">
        <v>2</v>
      </c>
      <c r="AS3" s="7">
        <v>2</v>
      </c>
      <c r="AT3" s="7">
        <v>2</v>
      </c>
      <c r="AU3" s="7">
        <v>2</v>
      </c>
      <c r="AV3" s="7">
        <v>1</v>
      </c>
      <c r="AW3" s="7">
        <v>1</v>
      </c>
      <c r="AX3" s="7">
        <v>1</v>
      </c>
      <c r="AY3" s="7">
        <v>1</v>
      </c>
      <c r="AZ3" s="7">
        <v>44</v>
      </c>
      <c r="BA3" s="7">
        <v>24</v>
      </c>
      <c r="BB3" s="7">
        <v>2</v>
      </c>
      <c r="BC3" s="7">
        <v>27</v>
      </c>
      <c r="BD3" s="7">
        <v>50</v>
      </c>
      <c r="BE3" s="7">
        <v>29</v>
      </c>
      <c r="BF3" s="7">
        <v>13</v>
      </c>
      <c r="BG3" s="7">
        <v>8</v>
      </c>
      <c r="BH3" s="7">
        <v>10</v>
      </c>
      <c r="BI3" s="7">
        <v>5</v>
      </c>
      <c r="BJ3" s="7">
        <v>3</v>
      </c>
      <c r="BK3" s="7">
        <v>10</v>
      </c>
      <c r="BL3" s="7">
        <v>3</v>
      </c>
      <c r="BM3" s="7">
        <v>7</v>
      </c>
      <c r="BN3" s="7">
        <v>8</v>
      </c>
      <c r="BO3" s="7">
        <v>4</v>
      </c>
      <c r="BP3" s="7">
        <v>0</v>
      </c>
      <c r="BQ3" s="7">
        <v>0</v>
      </c>
      <c r="BR3" s="7">
        <v>2</v>
      </c>
      <c r="BS3" s="7">
        <v>21</v>
      </c>
      <c r="BT3" s="7"/>
      <c r="BU3" s="7"/>
      <c r="BV3" s="7"/>
      <c r="BW3" s="7"/>
      <c r="BX3" s="7"/>
      <c r="BY3" s="7"/>
    </row>
    <row r="4" spans="1:77">
      <c r="A4" s="5" t="s">
        <v>379</v>
      </c>
      <c r="B4" s="5">
        <v>-8.9</v>
      </c>
      <c r="C4" s="5">
        <v>-25.7</v>
      </c>
      <c r="D4" s="5">
        <v>7.5</v>
      </c>
      <c r="E4" s="5">
        <v>16.6</v>
      </c>
      <c r="F4" s="5">
        <v>23.5</v>
      </c>
      <c r="G4" s="5">
        <v>5</v>
      </c>
      <c r="H4" s="5">
        <v>1</v>
      </c>
      <c r="I4" s="5">
        <v>-1.5</v>
      </c>
      <c r="J4" s="5">
        <v>-1.2</v>
      </c>
      <c r="K4" s="5">
        <v>8.4</v>
      </c>
      <c r="L4" s="5">
        <v>8.3</v>
      </c>
      <c r="M4" s="5">
        <v>3.8</v>
      </c>
      <c r="N4" s="5">
        <v>3.1</v>
      </c>
      <c r="O4" s="5">
        <v>3.2</v>
      </c>
      <c r="P4" s="5">
        <v>1.2</v>
      </c>
      <c r="Q4" s="7">
        <v>6</v>
      </c>
      <c r="R4" s="5">
        <f>33-31.38</f>
        <v>1.62</v>
      </c>
      <c r="S4" s="5"/>
      <c r="T4" s="7">
        <v>11</v>
      </c>
      <c r="U4" s="7">
        <v>14</v>
      </c>
      <c r="V4" s="7">
        <v>17</v>
      </c>
      <c r="W4" s="7">
        <v>10</v>
      </c>
      <c r="X4" s="7">
        <v>9</v>
      </c>
      <c r="Y4" s="7">
        <v>10</v>
      </c>
      <c r="Z4" s="7">
        <v>11</v>
      </c>
      <c r="AA4" s="7">
        <v>9</v>
      </c>
      <c r="AB4" s="7">
        <v>6</v>
      </c>
      <c r="AC4" s="7">
        <v>6</v>
      </c>
      <c r="AD4" s="7">
        <v>6</v>
      </c>
      <c r="AE4" s="7">
        <v>6</v>
      </c>
      <c r="AF4" s="7">
        <v>5</v>
      </c>
      <c r="AG4" s="7">
        <v>6</v>
      </c>
      <c r="AH4" s="7">
        <v>7</v>
      </c>
      <c r="AI4" s="7">
        <v>6</v>
      </c>
      <c r="AJ4" s="7">
        <v>3</v>
      </c>
      <c r="AK4" s="7">
        <v>10</v>
      </c>
      <c r="AL4" s="7">
        <v>4</v>
      </c>
      <c r="AM4" s="7">
        <v>5</v>
      </c>
      <c r="AN4" s="7">
        <v>0</v>
      </c>
      <c r="AO4" s="7">
        <v>0</v>
      </c>
      <c r="AP4" s="7">
        <v>2</v>
      </c>
      <c r="AQ4" s="7">
        <v>0</v>
      </c>
      <c r="AR4" s="7">
        <v>2</v>
      </c>
      <c r="AS4" s="7">
        <v>2</v>
      </c>
      <c r="AT4" s="7">
        <v>2</v>
      </c>
      <c r="AU4" s="7">
        <v>2</v>
      </c>
      <c r="AV4" s="7">
        <v>1</v>
      </c>
      <c r="AW4" s="7">
        <v>1</v>
      </c>
      <c r="AX4" s="7">
        <v>1</v>
      </c>
      <c r="AY4" s="7">
        <v>1</v>
      </c>
      <c r="AZ4" s="7">
        <v>33</v>
      </c>
      <c r="BA4" s="7">
        <v>24</v>
      </c>
      <c r="BB4" s="7">
        <v>2</v>
      </c>
      <c r="BC4" s="7">
        <v>27</v>
      </c>
      <c r="BD4" s="7">
        <v>50</v>
      </c>
      <c r="BE4" s="7">
        <v>29</v>
      </c>
      <c r="BF4" s="7">
        <v>12</v>
      </c>
      <c r="BG4" s="7">
        <v>8</v>
      </c>
      <c r="BH4" s="7">
        <v>7</v>
      </c>
      <c r="BI4" s="7">
        <v>5</v>
      </c>
      <c r="BJ4" s="7">
        <v>3</v>
      </c>
      <c r="BK4" s="7">
        <v>10</v>
      </c>
      <c r="BL4" s="7">
        <v>3</v>
      </c>
      <c r="BM4" s="7">
        <v>7</v>
      </c>
      <c r="BN4" s="7">
        <v>8</v>
      </c>
      <c r="BO4" s="7">
        <v>4</v>
      </c>
      <c r="BP4" s="7">
        <v>0</v>
      </c>
      <c r="BQ4" s="7">
        <v>0</v>
      </c>
      <c r="BR4" s="7">
        <v>2</v>
      </c>
      <c r="BS4" s="7">
        <v>21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</row>
    <row r="5" spans="1:77">
      <c r="A5" s="5" t="s">
        <v>380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7">
        <v>0</v>
      </c>
      <c r="U5" s="7">
        <v>1</v>
      </c>
      <c r="V5" s="7">
        <v>1</v>
      </c>
      <c r="W5" s="7">
        <v>1</v>
      </c>
      <c r="X5" s="7">
        <v>2</v>
      </c>
      <c r="Y5" s="7">
        <v>2</v>
      </c>
      <c r="Z5" s="7">
        <v>2</v>
      </c>
      <c r="AA5" s="7">
        <v>2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1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11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1</v>
      </c>
      <c r="BG5" s="7">
        <v>0</v>
      </c>
      <c r="BH5" s="7">
        <v>3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</row>
    <row r="6" spans="1:77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</sheetData>
  <mergeCells count="13">
    <mergeCell ref="C1:E1"/>
    <mergeCell ref="F1:H1"/>
    <mergeCell ref="I1:K1"/>
    <mergeCell ref="L1:N1"/>
    <mergeCell ref="T1:W1"/>
    <mergeCell ref="X1:AA1"/>
    <mergeCell ref="AB1:AE1"/>
    <mergeCell ref="AF1:AI1"/>
    <mergeCell ref="AJ1:AM1"/>
    <mergeCell ref="AN1:AQ1"/>
    <mergeCell ref="AR1:AU1"/>
    <mergeCell ref="AV1:AY1"/>
    <mergeCell ref="AZ1:B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10月份收支统计</vt:lpstr>
      <vt:lpstr>考勤</vt:lpstr>
      <vt:lpstr>业绩登记表</vt:lpstr>
      <vt:lpstr>会员到店率10月</vt:lpstr>
      <vt:lpstr>手工提成12月</vt:lpstr>
      <vt:lpstr>库存</vt:lpstr>
      <vt:lpstr>25年顾客消费记录</vt:lpstr>
      <vt:lpstr>20251110盘货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段智鹏</cp:lastModifiedBy>
  <dcterms:created xsi:type="dcterms:W3CDTF">2023-05-13T03:15:00Z</dcterms:created>
  <dcterms:modified xsi:type="dcterms:W3CDTF">2026-01-08T14:08:07Z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26E567D7F42E7D15C7495F69B91D4BF9_43</vt:lpwstr>
  </property>
  <property fmtid="{D5CDD505-2E9C-101B-9397-08002B2CF9AE}" pid="4" name="CalculationRule">
    <vt:i4>0</vt:i4>
  </property>
</Properties>
</file>